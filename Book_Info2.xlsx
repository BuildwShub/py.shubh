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Link</t>
        </is>
      </c>
    </row>
    <row r="2">
      <c r="A2" t="inlineStr">
        <is>
          <t>A Light in the ...</t>
        </is>
      </c>
      <c r="B2" t="inlineStr">
        <is>
          <t>£51.77</t>
        </is>
      </c>
      <c r="C2">
        <f>HYPERLINK("https://books.toscrape.com/catalogue/a-light-in-the-attic_1000/index.html","Open Link")</f>
        <v/>
      </c>
    </row>
    <row r="3">
      <c r="A3" t="inlineStr">
        <is>
          <t>Tipping the Velvet</t>
        </is>
      </c>
      <c r="B3" t="inlineStr">
        <is>
          <t>£53.74</t>
        </is>
      </c>
      <c r="C3">
        <f>HYPERLINK("https://books.toscrape.com/catalogue/tipping-the-velvet_999/index.html","Open Link")</f>
        <v/>
      </c>
    </row>
    <row r="4">
      <c r="A4" t="inlineStr">
        <is>
          <t>Soumission</t>
        </is>
      </c>
      <c r="B4" t="inlineStr">
        <is>
          <t>£50.10</t>
        </is>
      </c>
      <c r="C4">
        <f>HYPERLINK("https://books.toscrape.com/catalogue/soumission_998/index.html","Open Link")</f>
        <v/>
      </c>
    </row>
    <row r="5">
      <c r="A5" t="inlineStr">
        <is>
          <t>Sharp Objects</t>
        </is>
      </c>
      <c r="B5" t="inlineStr">
        <is>
          <t>£47.82</t>
        </is>
      </c>
      <c r="C5">
        <f>HYPERLINK("https://books.toscrape.com/catalogue/sharp-objects_997/index.html","Open Link")</f>
        <v/>
      </c>
    </row>
    <row r="6">
      <c r="A6" t="inlineStr">
        <is>
          <t>Sapiens: A Brief History ...</t>
        </is>
      </c>
      <c r="B6" t="inlineStr">
        <is>
          <t>£54.23</t>
        </is>
      </c>
      <c r="C6">
        <f>HYPERLINK("https://books.toscrape.com/catalogue/sapiens-a-brief-history-of-humankind_996/index.html","Open Link")</f>
        <v/>
      </c>
    </row>
    <row r="7">
      <c r="A7" t="inlineStr">
        <is>
          <t>The Requiem Red</t>
        </is>
      </c>
      <c r="B7" t="inlineStr">
        <is>
          <t>£22.65</t>
        </is>
      </c>
      <c r="C7">
        <f>HYPERLINK("https://books.toscrape.com/catalogue/the-requiem-red_995/index.html","Open Link")</f>
        <v/>
      </c>
    </row>
    <row r="8">
      <c r="A8" t="inlineStr">
        <is>
          <t>The Dirty Little Secrets ...</t>
        </is>
      </c>
      <c r="B8" t="inlineStr">
        <is>
          <t>£33.34</t>
        </is>
      </c>
      <c r="C8">
        <f>HYPERLINK("https://books.toscrape.com/catalogue/the-dirty-little-secrets-of-getting-your-dream-job_994/index.html","Open Link")</f>
        <v/>
      </c>
    </row>
    <row r="9">
      <c r="A9" t="inlineStr">
        <is>
          <t>The Coming Woman: A ...</t>
        </is>
      </c>
      <c r="B9" t="inlineStr">
        <is>
          <t>£17.93</t>
        </is>
      </c>
      <c r="C9">
        <f>HYPERLINK("https://books.toscrape.com/catalogue/the-coming-woman-a-novel-based-on-the-life-of-the-infamous-feminist-victoria-woodhull_993/index.html","Open Link")</f>
        <v/>
      </c>
    </row>
    <row r="10">
      <c r="A10" t="inlineStr">
        <is>
          <t>The Boys in the ...</t>
        </is>
      </c>
      <c r="B10" t="inlineStr">
        <is>
          <t>£22.60</t>
        </is>
      </c>
      <c r="C10">
        <f>HYPERLINK("https://books.toscrape.com/catalogue/the-boys-in-the-boat-nine-americans-and-their-epic-quest-for-gold-at-the-1936-berlin-olympics_992/index.html","Open Link")</f>
        <v/>
      </c>
    </row>
    <row r="11">
      <c r="A11" t="inlineStr">
        <is>
          <t>The Black Maria</t>
        </is>
      </c>
      <c r="B11" t="inlineStr">
        <is>
          <t>£52.15</t>
        </is>
      </c>
      <c r="C11">
        <f>HYPERLINK("https://books.toscrape.com/catalogue/the-black-maria_991/index.html","Open Link")</f>
        <v/>
      </c>
    </row>
    <row r="12">
      <c r="A12" t="inlineStr">
        <is>
          <t>Starving Hearts (Triangular Trade ...</t>
        </is>
      </c>
      <c r="B12" t="inlineStr">
        <is>
          <t>£13.99</t>
        </is>
      </c>
      <c r="C12">
        <f>HYPERLINK("https://books.toscrape.com/catalogue/starving-hearts-triangular-trade-trilogy-1_990/index.html","Open Link")</f>
        <v/>
      </c>
    </row>
    <row r="13">
      <c r="A13" t="inlineStr">
        <is>
          <t>Shakespeare's Sonnets</t>
        </is>
      </c>
      <c r="B13" t="inlineStr">
        <is>
          <t>£20.66</t>
        </is>
      </c>
      <c r="C13">
        <f>HYPERLINK("https://books.toscrape.com/catalogue/shakespeares-sonnets_989/index.html","Open Link")</f>
        <v/>
      </c>
    </row>
    <row r="14">
      <c r="A14" t="inlineStr">
        <is>
          <t>Set Me Free</t>
        </is>
      </c>
      <c r="B14" t="inlineStr">
        <is>
          <t>£17.46</t>
        </is>
      </c>
      <c r="C14">
        <f>HYPERLINK("https://books.toscrape.com/catalogue/set-me-free_988/index.html","Open Link")</f>
        <v/>
      </c>
    </row>
    <row r="15">
      <c r="A15" t="inlineStr">
        <is>
          <t>Scott Pilgrim's Precious Little ...</t>
        </is>
      </c>
      <c r="B15" t="inlineStr">
        <is>
          <t>£52.29</t>
        </is>
      </c>
      <c r="C15">
        <f>HYPERLINK("https://books.toscrape.com/catalogue/scott-pilgrims-precious-little-life-scott-pilgrim-1_987/index.html","Open Link")</f>
        <v/>
      </c>
    </row>
    <row r="16">
      <c r="A16" t="inlineStr">
        <is>
          <t>Rip it Up and ...</t>
        </is>
      </c>
      <c r="B16" t="inlineStr">
        <is>
          <t>£35.02</t>
        </is>
      </c>
      <c r="C16">
        <f>HYPERLINK("https://books.toscrape.com/catalogue/rip-it-up-and-start-again_986/index.html","Open Link")</f>
        <v/>
      </c>
    </row>
    <row r="17">
      <c r="A17" t="inlineStr">
        <is>
          <t>Our Band Could Be ...</t>
        </is>
      </c>
      <c r="B17" t="inlineStr">
        <is>
          <t>£57.25</t>
        </is>
      </c>
      <c r="C17">
        <f>HYPERLINK("https://books.toscrape.com/catalogue/our-band-could-be-your-life-scenes-from-the-american-indie-underground-1981-1991_985/index.html","Open Link")</f>
        <v/>
      </c>
    </row>
    <row r="18">
      <c r="A18" t="inlineStr">
        <is>
          <t>Olio</t>
        </is>
      </c>
      <c r="B18" t="inlineStr">
        <is>
          <t>£23.88</t>
        </is>
      </c>
      <c r="C18">
        <f>HYPERLINK("https://books.toscrape.com/catalogue/olio_984/index.html","Open Link")</f>
        <v/>
      </c>
    </row>
    <row r="19">
      <c r="A19" t="inlineStr">
        <is>
          <t>Mesaerion: The Best Science ...</t>
        </is>
      </c>
      <c r="B19" t="inlineStr">
        <is>
          <t>£37.59</t>
        </is>
      </c>
      <c r="C19">
        <f>HYPERLINK("https://books.toscrape.com/catalogue/mesaerion-the-best-science-fiction-stories-1800-1849_983/index.html","Open Link")</f>
        <v/>
      </c>
    </row>
    <row r="20">
      <c r="A20" t="inlineStr">
        <is>
          <t>Libertarianism for Beginners</t>
        </is>
      </c>
      <c r="B20" t="inlineStr">
        <is>
          <t>£51.33</t>
        </is>
      </c>
      <c r="C20">
        <f>HYPERLINK("https://books.toscrape.com/catalogue/libertarianism-for-beginners_982/index.html","Open Link")</f>
        <v/>
      </c>
    </row>
    <row r="21">
      <c r="A21" t="inlineStr">
        <is>
          <t>It's Only the Himalayas</t>
        </is>
      </c>
      <c r="B21" t="inlineStr">
        <is>
          <t>£45.17</t>
        </is>
      </c>
      <c r="C21">
        <f>HYPERLINK("https://books.toscrape.com/catalogue/its-only-the-himalayas_981/index.html","Open Link")</f>
        <v/>
      </c>
    </row>
    <row r="22">
      <c r="A22" t="inlineStr">
        <is>
          <t>In Her Wake</t>
        </is>
      </c>
      <c r="B22" t="inlineStr">
        <is>
          <t>£12.84</t>
        </is>
      </c>
      <c r="C22">
        <f>HYPERLINK("https://books.toscrape.com/catalogue/in-her-wake_980/index.html","Open Link")</f>
        <v/>
      </c>
    </row>
    <row r="23">
      <c r="A23" t="inlineStr">
        <is>
          <t>How Music Works</t>
        </is>
      </c>
      <c r="B23" t="inlineStr">
        <is>
          <t>£37.32</t>
        </is>
      </c>
      <c r="C23">
        <f>HYPERLINK("https://books.toscrape.com/catalogue/how-music-works_979/index.html","Open Link")</f>
        <v/>
      </c>
    </row>
    <row r="24">
      <c r="A24" t="inlineStr">
        <is>
          <t>Foolproof Preserving: A Guide ...</t>
        </is>
      </c>
      <c r="B24" t="inlineStr">
        <is>
          <t>£30.52</t>
        </is>
      </c>
      <c r="C24">
        <f>HYPERLINK("https://books.toscrape.com/catalogue/foolproof-preserving-a-guide-to-small-batch-jams-jellies-pickles-condiments-and-more-a-foolproof-guide-to-making-small-batch-jams-jellies-pickles-condiments-and-more_978/index.html","Open Link")</f>
        <v/>
      </c>
    </row>
    <row r="25">
      <c r="A25" t="inlineStr">
        <is>
          <t>Chase Me (Paris Nights ...</t>
        </is>
      </c>
      <c r="B25" t="inlineStr">
        <is>
          <t>£25.27</t>
        </is>
      </c>
      <c r="C25">
        <f>HYPERLINK("https://books.toscrape.com/catalogue/chase-me-paris-nights-2_977/index.html","Open Link")</f>
        <v/>
      </c>
    </row>
    <row r="26">
      <c r="A26" t="inlineStr">
        <is>
          <t>Black Dust</t>
        </is>
      </c>
      <c r="B26" t="inlineStr">
        <is>
          <t>£34.53</t>
        </is>
      </c>
      <c r="C26">
        <f>HYPERLINK("https://books.toscrape.com/catalogue/black-dust_976/index.html","Open Link")</f>
        <v/>
      </c>
    </row>
    <row r="27">
      <c r="A27" t="inlineStr">
        <is>
          <t>Birdsong: A Story in ...</t>
        </is>
      </c>
      <c r="B27" t="inlineStr">
        <is>
          <t>£54.64</t>
        </is>
      </c>
      <c r="C27">
        <f>HYPERLINK("https://books.toscrape.com/catalogue/birdsong-a-story-in-pictures_975/index.html","Open Link")</f>
        <v/>
      </c>
    </row>
    <row r="28">
      <c r="A28" t="inlineStr">
        <is>
          <t>America's Cradle of Quarterbacks: ...</t>
        </is>
      </c>
      <c r="B28" t="inlineStr">
        <is>
          <t>£22.50</t>
        </is>
      </c>
      <c r="C28">
        <f>HYPERLINK("https://books.toscrape.com/catalogue/americas-cradle-of-quarterbacks-western-pennsylvanias-football-factory-from-johnny-unitas-to-joe-montana_974/index.html","Open Link")</f>
        <v/>
      </c>
    </row>
    <row r="29">
      <c r="A29" t="inlineStr">
        <is>
          <t>Aladdin and His Wonderful ...</t>
        </is>
      </c>
      <c r="B29" t="inlineStr">
        <is>
          <t>£53.13</t>
        </is>
      </c>
      <c r="C29">
        <f>HYPERLINK("https://books.toscrape.com/catalogue/aladdin-and-his-wonderful-lamp_973/index.html","Open Link")</f>
        <v/>
      </c>
    </row>
    <row r="30">
      <c r="A30" t="inlineStr">
        <is>
          <t>Worlds Elsewhere: Journeys Around ...</t>
        </is>
      </c>
      <c r="B30" t="inlineStr">
        <is>
          <t>£40.30</t>
        </is>
      </c>
      <c r="C30">
        <f>HYPERLINK("https://books.toscrape.com/catalogue/worlds-elsewhere-journeys-around-shakespeares-globe_972/index.html","Open Link")</f>
        <v/>
      </c>
    </row>
    <row r="31">
      <c r="A31" t="inlineStr">
        <is>
          <t>Wall and Piece</t>
        </is>
      </c>
      <c r="B31" t="inlineStr">
        <is>
          <t>£44.18</t>
        </is>
      </c>
      <c r="C31">
        <f>HYPERLINK("https://books.toscrape.com/catalogue/wall-and-piece_971/index.html","Open Link")</f>
        <v/>
      </c>
    </row>
    <row r="32">
      <c r="A32" t="inlineStr">
        <is>
          <t>The Four Agreements: A ...</t>
        </is>
      </c>
      <c r="B32" t="inlineStr">
        <is>
          <t>£17.66</t>
        </is>
      </c>
      <c r="C32">
        <f>HYPERLINK("https://books.toscrape.com/catalogue/the-four-agreements-a-practical-guide-to-personal-freedom_970/index.html","Open Link")</f>
        <v/>
      </c>
    </row>
    <row r="33">
      <c r="A33" t="inlineStr">
        <is>
          <t>The Five Love Languages: ...</t>
        </is>
      </c>
      <c r="B33" t="inlineStr">
        <is>
          <t>£31.05</t>
        </is>
      </c>
      <c r="C33">
        <f>HYPERLINK("https://books.toscrape.com/catalogue/the-five-love-languages-how-to-express-heartfelt-commitment-to-your-mate_969/index.html","Open Link")</f>
        <v/>
      </c>
    </row>
    <row r="34">
      <c r="A34" t="inlineStr">
        <is>
          <t>The Elephant Tree</t>
        </is>
      </c>
      <c r="B34" t="inlineStr">
        <is>
          <t>£23.82</t>
        </is>
      </c>
      <c r="C34">
        <f>HYPERLINK("https://books.toscrape.com/catalogue/the-elephant-tree_968/index.html","Open Link")</f>
        <v/>
      </c>
    </row>
    <row r="35">
      <c r="A35" t="inlineStr">
        <is>
          <t>The Bear and the ...</t>
        </is>
      </c>
      <c r="B35" t="inlineStr">
        <is>
          <t>£36.89</t>
        </is>
      </c>
      <c r="C35">
        <f>HYPERLINK("https://books.toscrape.com/catalogue/the-bear-and-the-piano_967/index.html","Open Link")</f>
        <v/>
      </c>
    </row>
    <row r="36">
      <c r="A36" t="inlineStr">
        <is>
          <t>Sophie's World</t>
        </is>
      </c>
      <c r="B36" t="inlineStr">
        <is>
          <t>£15.94</t>
        </is>
      </c>
      <c r="C36">
        <f>HYPERLINK("https://books.toscrape.com/catalogue/sophies-world_966/index.html","Open Link")</f>
        <v/>
      </c>
    </row>
    <row r="37">
      <c r="A37" t="inlineStr">
        <is>
          <t>Penny Maybe</t>
        </is>
      </c>
      <c r="B37" t="inlineStr">
        <is>
          <t>£33.29</t>
        </is>
      </c>
      <c r="C37">
        <f>HYPERLINK("https://books.toscrape.com/catalogue/penny-maybe_965/index.html","Open Link")</f>
        <v/>
      </c>
    </row>
    <row r="38">
      <c r="A38" t="inlineStr">
        <is>
          <t>Maude (1883-1993):She Grew Up ...</t>
        </is>
      </c>
      <c r="B38" t="inlineStr">
        <is>
          <t>£18.02</t>
        </is>
      </c>
      <c r="C38">
        <f>HYPERLINK("https://books.toscrape.com/catalogue/maude-1883-1993she-grew-up-with-the-country_964/index.html","Open Link")</f>
        <v/>
      </c>
    </row>
    <row r="39">
      <c r="A39" t="inlineStr">
        <is>
          <t>In a Dark, Dark ...</t>
        </is>
      </c>
      <c r="B39" t="inlineStr">
        <is>
          <t>£19.63</t>
        </is>
      </c>
      <c r="C39">
        <f>HYPERLINK("https://books.toscrape.com/catalogue/in-a-dark-dark-wood_963/index.html","Open Link")</f>
        <v/>
      </c>
    </row>
    <row r="40">
      <c r="A40" t="inlineStr">
        <is>
          <t>Behind Closed Doors</t>
        </is>
      </c>
      <c r="B40" t="inlineStr">
        <is>
          <t>£52.22</t>
        </is>
      </c>
      <c r="C40">
        <f>HYPERLINK("https://books.toscrape.com/catalogue/behind-closed-doors_962/index.html","Open Link")</f>
        <v/>
      </c>
    </row>
    <row r="41">
      <c r="A41" t="inlineStr">
        <is>
          <t>You can't bury them ...</t>
        </is>
      </c>
      <c r="B41" t="inlineStr">
        <is>
          <t>£33.63</t>
        </is>
      </c>
      <c r="C41">
        <f>HYPERLINK("https://books.toscrape.com/catalogue/you-cant-bury-them-all-poems_961/index.html","Open Link")</f>
        <v/>
      </c>
    </row>
    <row r="42">
      <c r="A42" t="inlineStr">
        <is>
          <t>Slow States of Collapse: ...</t>
        </is>
      </c>
      <c r="B42" t="inlineStr">
        <is>
          <t>£57.31</t>
        </is>
      </c>
      <c r="C42">
        <f>HYPERLINK("https://books.toscrape.com/catalogue/slow-states-of-collapse-poems_960/index.html","Open Link")</f>
        <v/>
      </c>
    </row>
    <row r="43">
      <c r="A43" t="inlineStr">
        <is>
          <t>Reasons to Stay Alive</t>
        </is>
      </c>
      <c r="B43" t="inlineStr">
        <is>
          <t>£26.41</t>
        </is>
      </c>
      <c r="C43">
        <f>HYPERLINK("https://books.toscrape.com/catalogue/reasons-to-stay-alive_959/index.html","Open Link")</f>
        <v/>
      </c>
    </row>
    <row r="44">
      <c r="A44" t="inlineStr">
        <is>
          <t>Private Paris (Private #10)</t>
        </is>
      </c>
      <c r="B44" t="inlineStr">
        <is>
          <t>£47.61</t>
        </is>
      </c>
      <c r="C44">
        <f>HYPERLINK("https://books.toscrape.com/catalogue/private-paris-private-10_958/index.html","Open Link")</f>
        <v/>
      </c>
    </row>
    <row r="45">
      <c r="A45" t="inlineStr">
        <is>
          <t>#HigherSelfie: Wake Up Your ...</t>
        </is>
      </c>
      <c r="B45" t="inlineStr">
        <is>
          <t>£23.11</t>
        </is>
      </c>
      <c r="C45">
        <f>HYPERLINK("https://books.toscrape.com/catalogue/higherselfie-wake-up-your-life-free-your-soul-find-your-tribe_957/index.html","Open Link")</f>
        <v/>
      </c>
    </row>
    <row r="46">
      <c r="A46" t="inlineStr">
        <is>
          <t>Without Borders (Wanderlove #1)</t>
        </is>
      </c>
      <c r="B46" t="inlineStr">
        <is>
          <t>£45.07</t>
        </is>
      </c>
      <c r="C46">
        <f>HYPERLINK("https://books.toscrape.com/catalogue/without-borders-wanderlove-1_956/index.html","Open Link")</f>
        <v/>
      </c>
    </row>
    <row r="47">
      <c r="A47" t="inlineStr">
        <is>
          <t>When We Collided</t>
        </is>
      </c>
      <c r="B47" t="inlineStr">
        <is>
          <t>£31.77</t>
        </is>
      </c>
      <c r="C47">
        <f>HYPERLINK("https://books.toscrape.com/catalogue/when-we-collided_955/index.html","Open Link")</f>
        <v/>
      </c>
    </row>
    <row r="48">
      <c r="A48" t="inlineStr">
        <is>
          <t>We Love You, Charlie ...</t>
        </is>
      </c>
      <c r="B48" t="inlineStr">
        <is>
          <t>£50.27</t>
        </is>
      </c>
      <c r="C48">
        <f>HYPERLINK("https://books.toscrape.com/catalogue/we-love-you-charlie-freeman_954/index.html","Open Link")</f>
        <v/>
      </c>
    </row>
    <row r="49">
      <c r="A49" t="inlineStr">
        <is>
          <t>Untitled Collection: Sabbath Poems ...</t>
        </is>
      </c>
      <c r="B49" t="inlineStr">
        <is>
          <t>£14.27</t>
        </is>
      </c>
      <c r="C49">
        <f>HYPERLINK("https://books.toscrape.com/catalogue/untitled-collection-sabbath-poems-2014_953/index.html","Open Link")</f>
        <v/>
      </c>
    </row>
    <row r="50">
      <c r="A50" t="inlineStr">
        <is>
          <t>Unseen City: The Majesty ...</t>
        </is>
      </c>
      <c r="B50" t="inlineStr">
        <is>
          <t>£44.18</t>
        </is>
      </c>
      <c r="C50">
        <f>HYPERLINK("https://books.toscrape.com/catalogue/unseen-city-the-majesty-of-pigeons-the-discreet-charm-of-snails-other-wonders-of-the-urban-wilderness_952/index.html","Open Link")</f>
        <v/>
      </c>
    </row>
    <row r="51">
      <c r="A51" t="inlineStr">
        <is>
          <t>Unicorn Tracks</t>
        </is>
      </c>
      <c r="B51" t="inlineStr">
        <is>
          <t>£18.78</t>
        </is>
      </c>
      <c r="C51">
        <f>HYPERLINK("https://books.toscrape.com/catalogue/unicorn-tracks_951/index.html","Open Link")</f>
        <v/>
      </c>
    </row>
    <row r="52">
      <c r="A52" t="inlineStr">
        <is>
          <t>Unbound: How Eight Technologies ...</t>
        </is>
      </c>
      <c r="B52" t="inlineStr">
        <is>
          <t>£25.52</t>
        </is>
      </c>
      <c r="C52">
        <f>HYPERLINK("https://books.toscrape.com/catalogue/unbound-how-eight-technologies-made-us-human-transformed-society-and-brought-our-world-to-the-brink_950/index.html","Open Link")</f>
        <v/>
      </c>
    </row>
    <row r="53">
      <c r="A53" t="inlineStr">
        <is>
          <t>Tsubasa: WoRLD CHRoNiCLE 2 ...</t>
        </is>
      </c>
      <c r="B53" t="inlineStr">
        <is>
          <t>£16.28</t>
        </is>
      </c>
      <c r="C53">
        <f>HYPERLINK("https://books.toscrape.com/catalogue/tsubasa-world-chronicle-2-tsubasa-world-chronicle-2_949/index.html","Open Link")</f>
        <v/>
      </c>
    </row>
    <row r="54">
      <c r="A54" t="inlineStr">
        <is>
          <t>Throwing Rocks at the ...</t>
        </is>
      </c>
      <c r="B54" t="inlineStr">
        <is>
          <t>£31.12</t>
        </is>
      </c>
      <c r="C54">
        <f>HYPERLINK("https://books.toscrape.com/catalogue/throwing-rocks-at-the-google-bus-how-growth-became-the-enemy-of-prosperity_948/index.html","Open Link")</f>
        <v/>
      </c>
    </row>
    <row r="55">
      <c r="A55" t="inlineStr">
        <is>
          <t>This One Summer</t>
        </is>
      </c>
      <c r="B55" t="inlineStr">
        <is>
          <t>£19.49</t>
        </is>
      </c>
      <c r="C55">
        <f>HYPERLINK("https://books.toscrape.com/catalogue/this-one-summer_947/index.html","Open Link")</f>
        <v/>
      </c>
    </row>
    <row r="56">
      <c r="A56" t="inlineStr">
        <is>
          <t>Thirst</t>
        </is>
      </c>
      <c r="B56" t="inlineStr">
        <is>
          <t>£17.27</t>
        </is>
      </c>
      <c r="C56">
        <f>HYPERLINK("https://books.toscrape.com/catalogue/thirst_946/index.html","Open Link")</f>
        <v/>
      </c>
    </row>
    <row r="57">
      <c r="A57" t="inlineStr">
        <is>
          <t>The Torch Is Passed: ...</t>
        </is>
      </c>
      <c r="B57" t="inlineStr">
        <is>
          <t>£19.09</t>
        </is>
      </c>
      <c r="C57">
        <f>HYPERLINK("https://books.toscrape.com/catalogue/the-torch-is-passed-a-harding-family-story_945/index.html","Open Link")</f>
        <v/>
      </c>
    </row>
    <row r="58">
      <c r="A58" t="inlineStr">
        <is>
          <t>The Secret of Dreadwillow ...</t>
        </is>
      </c>
      <c r="B58" t="inlineStr">
        <is>
          <t>£56.13</t>
        </is>
      </c>
      <c r="C58">
        <f>HYPERLINK("https://books.toscrape.com/catalogue/the-secret-of-dreadwillow-carse_944/index.html","Open Link")</f>
        <v/>
      </c>
    </row>
    <row r="59">
      <c r="A59" t="inlineStr">
        <is>
          <t>The Pioneer Woman Cooks: ...</t>
        </is>
      </c>
      <c r="B59" t="inlineStr">
        <is>
          <t>£56.41</t>
        </is>
      </c>
      <c r="C59">
        <f>HYPERLINK("https://books.toscrape.com/catalogue/the-pioneer-woman-cooks-dinnertime-comfort-classics-freezer-food-16-minute-meals-and-other-delicious-ways-to-solve-supper_943/index.html","Open Link")</f>
        <v/>
      </c>
    </row>
    <row r="60">
      <c r="A60" t="inlineStr">
        <is>
          <t>The Past Never Ends</t>
        </is>
      </c>
      <c r="B60" t="inlineStr">
        <is>
          <t>£56.50</t>
        </is>
      </c>
      <c r="C60">
        <f>HYPERLINK("https://books.toscrape.com/catalogue/the-past-never-ends_942/index.html","Open Link")</f>
        <v/>
      </c>
    </row>
    <row r="61">
      <c r="A61" t="inlineStr">
        <is>
          <t>The Natural History of ...</t>
        </is>
      </c>
      <c r="B61" t="inlineStr">
        <is>
          <t>£45.22</t>
        </is>
      </c>
      <c r="C61">
        <f>HYPERLINK("https://books.toscrape.com/catalogue/the-natural-history-of-us-the-fine-art-of-pretending-2_941/index.html","Open Link")</f>
        <v/>
      </c>
    </row>
    <row r="62">
      <c r="A62" t="inlineStr">
        <is>
          <t>The Nameless City (The ...</t>
        </is>
      </c>
      <c r="B62" t="inlineStr">
        <is>
          <t>£38.16</t>
        </is>
      </c>
      <c r="C62">
        <f>HYPERLINK("https://books.toscrape.com/catalogue/the-nameless-city-the-nameless-city-1_940/index.html","Open Link")</f>
        <v/>
      </c>
    </row>
    <row r="63">
      <c r="A63" t="inlineStr">
        <is>
          <t>The Murder That Never ...</t>
        </is>
      </c>
      <c r="B63" t="inlineStr">
        <is>
          <t>£54.11</t>
        </is>
      </c>
      <c r="C63">
        <f>HYPERLINK("https://books.toscrape.com/catalogue/the-murder-that-never-was-forensic-instincts-5_939/index.html","Open Link")</f>
        <v/>
      </c>
    </row>
    <row r="64">
      <c r="A64" t="inlineStr">
        <is>
          <t>The Most Perfect Thing: ...</t>
        </is>
      </c>
      <c r="B64" t="inlineStr">
        <is>
          <t>£42.96</t>
        </is>
      </c>
      <c r="C64">
        <f>HYPERLINK("https://books.toscrape.com/catalogue/the-most-perfect-thing-inside-and-outside-a-birds-egg_938/index.html","Open Link")</f>
        <v/>
      </c>
    </row>
    <row r="65">
      <c r="A65" t="inlineStr">
        <is>
          <t>The Mindfulness and Acceptance ...</t>
        </is>
      </c>
      <c r="B65" t="inlineStr">
        <is>
          <t>£23.89</t>
        </is>
      </c>
      <c r="C65">
        <f>HYPERLINK("https://books.toscrape.com/catalogue/the-mindfulness-and-acceptance-workbook-for-anxiety-a-guide-to-breaking-free-from-anxiety-phobias-and-worry-using-acceptance-and-commitment-therapy_937/index.html","Open Link")</f>
        <v/>
      </c>
    </row>
    <row r="66">
      <c r="A66" t="inlineStr">
        <is>
          <t>The Life-Changing Magic of ...</t>
        </is>
      </c>
      <c r="B66" t="inlineStr">
        <is>
          <t>£16.77</t>
        </is>
      </c>
      <c r="C66">
        <f>HYPERLINK("https://books.toscrape.com/catalogue/the-life-changing-magic-of-tidying-up-the-japanese-art-of-decluttering-and-organizing_936/index.html","Open Link")</f>
        <v/>
      </c>
    </row>
    <row r="67">
      <c r="A67" t="inlineStr">
        <is>
          <t>The Inefficiency Assassin: Time ...</t>
        </is>
      </c>
      <c r="B67" t="inlineStr">
        <is>
          <t>£20.59</t>
        </is>
      </c>
      <c r="C67">
        <f>HYPERLINK("https://books.toscrape.com/catalogue/the-inefficiency-assassin-time-management-tactics-for-working-smarter-not-longer_935/index.html","Open Link")</f>
        <v/>
      </c>
    </row>
    <row r="68">
      <c r="A68" t="inlineStr">
        <is>
          <t>The Gutsy Girl: Escapades ...</t>
        </is>
      </c>
      <c r="B68" t="inlineStr">
        <is>
          <t>£37.13</t>
        </is>
      </c>
      <c r="C68">
        <f>HYPERLINK("https://books.toscrape.com/catalogue/the-gutsy-girl-escapades-for-your-life-of-epic-adventure_934/index.html","Open Link")</f>
        <v/>
      </c>
    </row>
    <row r="69">
      <c r="A69" t="inlineStr">
        <is>
          <t>The Electric Pencil: Drawings ...</t>
        </is>
      </c>
      <c r="B69" t="inlineStr">
        <is>
          <t>£56.06</t>
        </is>
      </c>
      <c r="C69">
        <f>HYPERLINK("https://books.toscrape.com/catalogue/the-electric-pencil-drawings-from-inside-state-hospital-no-3_933/index.html","Open Link")</f>
        <v/>
      </c>
    </row>
    <row r="70">
      <c r="A70" t="inlineStr">
        <is>
          <t>The Death of Humanity: ...</t>
        </is>
      </c>
      <c r="B70" t="inlineStr">
        <is>
          <t>£58.11</t>
        </is>
      </c>
      <c r="C70">
        <f>HYPERLINK("https://books.toscrape.com/catalogue/the-death-of-humanity-and-the-case-for-life_932/index.html","Open Link")</f>
        <v/>
      </c>
    </row>
    <row r="71">
      <c r="A71" t="inlineStr">
        <is>
          <t>The Bulletproof Diet: Lose ...</t>
        </is>
      </c>
      <c r="B71" t="inlineStr">
        <is>
          <t>£49.05</t>
        </is>
      </c>
      <c r="C71">
        <f>HYPERLINK("https://books.toscrape.com/catalogue/the-bulletproof-diet-lose-up-to-a-pound-a-day-reclaim-energy-and-focus-upgrade-your-life_931/index.html","Open Link")</f>
        <v/>
      </c>
    </row>
    <row r="72">
      <c r="A72" t="inlineStr">
        <is>
          <t>The Art Forger</t>
        </is>
      </c>
      <c r="B72" t="inlineStr">
        <is>
          <t>£40.76</t>
        </is>
      </c>
      <c r="C72">
        <f>HYPERLINK("https://books.toscrape.com/catalogue/the-art-forger_930/index.html","Open Link")</f>
        <v/>
      </c>
    </row>
    <row r="73">
      <c r="A73" t="inlineStr">
        <is>
          <t>The Age of Genius: ...</t>
        </is>
      </c>
      <c r="B73" t="inlineStr">
        <is>
          <t>£19.73</t>
        </is>
      </c>
      <c r="C73">
        <f>HYPERLINK("https://books.toscrape.com/catalogue/the-age-of-genius-the-seventeenth-century-and-the-birth-of-the-modern-mind_929/index.html","Open Link")</f>
        <v/>
      </c>
    </row>
    <row r="74">
      <c r="A74" t="inlineStr">
        <is>
          <t>The Activist's Tao Te ...</t>
        </is>
      </c>
      <c r="B74" t="inlineStr">
        <is>
          <t>£32.24</t>
        </is>
      </c>
      <c r="C74">
        <f>HYPERLINK("https://books.toscrape.com/catalogue/the-activists-tao-te-ching-ancient-advice-for-a-modern-revolution_928/index.html","Open Link")</f>
        <v/>
      </c>
    </row>
    <row r="75">
      <c r="A75" t="inlineStr">
        <is>
          <t>Spark Joy: An Illustrated ...</t>
        </is>
      </c>
      <c r="B75" t="inlineStr">
        <is>
          <t>£41.83</t>
        </is>
      </c>
      <c r="C75">
        <f>HYPERLINK("https://books.toscrape.com/catalogue/spark-joy-an-illustrated-master-class-on-the-art-of-organizing-and-tidying-up_927/index.html","Open Link")</f>
        <v/>
      </c>
    </row>
    <row r="76">
      <c r="A76" t="inlineStr">
        <is>
          <t>Soul Reader</t>
        </is>
      </c>
      <c r="B76" t="inlineStr">
        <is>
          <t>£39.58</t>
        </is>
      </c>
      <c r="C76">
        <f>HYPERLINK("https://books.toscrape.com/catalogue/soul-reader_926/index.html","Open Link")</f>
        <v/>
      </c>
    </row>
    <row r="77">
      <c r="A77" t="inlineStr">
        <is>
          <t>Security</t>
        </is>
      </c>
      <c r="B77" t="inlineStr">
        <is>
          <t>£39.25</t>
        </is>
      </c>
      <c r="C77">
        <f>HYPERLINK("https://books.toscrape.com/catalogue/security_925/index.html","Open Link")</f>
        <v/>
      </c>
    </row>
    <row r="78">
      <c r="A78" t="inlineStr">
        <is>
          <t>Saga, Volume 6 (Saga ...</t>
        </is>
      </c>
      <c r="B78" t="inlineStr">
        <is>
          <t>£25.02</t>
        </is>
      </c>
      <c r="C78">
        <f>HYPERLINK("https://books.toscrape.com/catalogue/saga-volume-6-saga-collected-editions-6_924/index.html","Open Link")</f>
        <v/>
      </c>
    </row>
    <row r="79">
      <c r="A79" t="inlineStr">
        <is>
          <t>Saga, Volume 5 (Saga ...</t>
        </is>
      </c>
      <c r="B79" t="inlineStr">
        <is>
          <t>£51.04</t>
        </is>
      </c>
      <c r="C79">
        <f>HYPERLINK("https://books.toscrape.com/catalogue/saga-volume-5-saga-collected-editions-5_923/index.html","Open Link")</f>
        <v/>
      </c>
    </row>
    <row r="80">
      <c r="A80" t="inlineStr">
        <is>
          <t>Reskilling America: Learning to ...</t>
        </is>
      </c>
      <c r="B80" t="inlineStr">
        <is>
          <t>£19.83</t>
        </is>
      </c>
      <c r="C80">
        <f>HYPERLINK("https://books.toscrape.com/catalogue/reskilling-america-learning-to-labor-in-the-twenty-first-century_922/index.html","Open Link")</f>
        <v/>
      </c>
    </row>
    <row r="81">
      <c r="A81" t="inlineStr">
        <is>
          <t>Rat Queens, Vol. 3: ...</t>
        </is>
      </c>
      <c r="B81" t="inlineStr">
        <is>
          <t>£50.40</t>
        </is>
      </c>
      <c r="C81">
        <f>HYPERLINK("https://books.toscrape.com/catalogue/rat-queens-vol-3-demons-rat-queens-collected-editions-11-15_921/index.html","Open Link")</f>
        <v/>
      </c>
    </row>
    <row r="82">
      <c r="A82" t="inlineStr">
        <is>
          <t>Princess Jellyfish 2-in-1 Omnibus, ...</t>
        </is>
      </c>
      <c r="B82" t="inlineStr">
        <is>
          <t>£13.61</t>
        </is>
      </c>
      <c r="C82">
        <f>HYPERLINK("https://books.toscrape.com/catalogue/princess-jellyfish-2-in-1-omnibus-vol-01-princess-jellyfish-2-in-1-omnibus-1_920/index.html","Open Link")</f>
        <v/>
      </c>
    </row>
    <row r="83">
      <c r="A83" t="inlineStr">
        <is>
          <t>Princess Between Worlds (Wide-Awake ...</t>
        </is>
      </c>
      <c r="B83" t="inlineStr">
        <is>
          <t>£13.34</t>
        </is>
      </c>
      <c r="C83">
        <f>HYPERLINK("https://books.toscrape.com/catalogue/princess-between-worlds-wide-awake-princess-5_919/index.html","Open Link")</f>
        <v/>
      </c>
    </row>
    <row r="84">
      <c r="A84" t="inlineStr">
        <is>
          <t>Pop Gun War, Volume ...</t>
        </is>
      </c>
      <c r="B84" t="inlineStr">
        <is>
          <t>£18.97</t>
        </is>
      </c>
      <c r="C84">
        <f>HYPERLINK("https://books.toscrape.com/catalogue/pop-gun-war-volume-1-gift_918/index.html","Open Link")</f>
        <v/>
      </c>
    </row>
    <row r="85">
      <c r="A85" t="inlineStr">
        <is>
          <t>Political Suicide: Missteps, Peccadilloes, ...</t>
        </is>
      </c>
      <c r="B85" t="inlineStr">
        <is>
          <t>£36.28</t>
        </is>
      </c>
      <c r="C85">
        <f>HYPERLINK("https://books.toscrape.com/catalogue/political-suicide-missteps-peccadilloes-bad-calls-backroom-hijinx-sordid-pasts-rotten-breaks-and-just-plain-dumb-mistakes-in-the-annals-of-american-politics_917/index.html","Open Link")</f>
        <v/>
      </c>
    </row>
    <row r="86">
      <c r="A86" t="inlineStr">
        <is>
          <t>Patience</t>
        </is>
      </c>
      <c r="B86" t="inlineStr">
        <is>
          <t>£10.16</t>
        </is>
      </c>
      <c r="C86">
        <f>HYPERLINK("https://books.toscrape.com/catalogue/patience_916/index.html","Open Link")</f>
        <v/>
      </c>
    </row>
    <row r="87">
      <c r="A87" t="inlineStr">
        <is>
          <t>Outcast, Vol. 1: A ...</t>
        </is>
      </c>
      <c r="B87" t="inlineStr">
        <is>
          <t>£15.44</t>
        </is>
      </c>
      <c r="C87">
        <f>HYPERLINK("https://books.toscrape.com/catalogue/outcast-vol-1-a-darkness-surrounds-him-outcast-1_915/index.html","Open Link")</f>
        <v/>
      </c>
    </row>
    <row r="88">
      <c r="A88" t="inlineStr">
        <is>
          <t>orange: The Complete Collection ...</t>
        </is>
      </c>
      <c r="B88" t="inlineStr">
        <is>
          <t>£48.41</t>
        </is>
      </c>
      <c r="C88">
        <f>HYPERLINK("https://books.toscrape.com/catalogue/orange-the-complete-collection-1-orange-the-complete-collection-1_914/index.html","Open Link")</f>
        <v/>
      </c>
    </row>
    <row r="89">
      <c r="A89" t="inlineStr">
        <is>
          <t>Online Marketing for Busy ...</t>
        </is>
      </c>
      <c r="B89" t="inlineStr">
        <is>
          <t>£46.35</t>
        </is>
      </c>
      <c r="C89">
        <f>HYPERLINK("https://books.toscrape.com/catalogue/online-marketing-for-busy-authors-a-step-by-step-guide_913/index.html","Open Link")</f>
        <v/>
      </c>
    </row>
    <row r="90">
      <c r="A90" t="inlineStr">
        <is>
          <t>On a Midnight Clear</t>
        </is>
      </c>
      <c r="B90" t="inlineStr">
        <is>
          <t>£14.07</t>
        </is>
      </c>
      <c r="C90">
        <f>HYPERLINK("https://books.toscrape.com/catalogue/on-a-midnight-clear_912/index.html","Open Link")</f>
        <v/>
      </c>
    </row>
    <row r="91">
      <c r="A91" t="inlineStr">
        <is>
          <t>Obsidian (Lux #1)</t>
        </is>
      </c>
      <c r="B91" t="inlineStr">
        <is>
          <t>£14.86</t>
        </is>
      </c>
      <c r="C91">
        <f>HYPERLINK("https://books.toscrape.com/catalogue/obsidian-lux-1_911/index.html","Open Link")</f>
        <v/>
      </c>
    </row>
    <row r="92">
      <c r="A92" t="inlineStr">
        <is>
          <t>My Paris Kitchen: Recipes ...</t>
        </is>
      </c>
      <c r="B92" t="inlineStr">
        <is>
          <t>£33.37</t>
        </is>
      </c>
      <c r="C92">
        <f>HYPERLINK("https://books.toscrape.com/catalogue/my-paris-kitchen-recipes-and-stories_910/index.html","Open Link")</f>
        <v/>
      </c>
    </row>
    <row r="93">
      <c r="A93" t="inlineStr">
        <is>
          <t>Masks and Shadows</t>
        </is>
      </c>
      <c r="B93" t="inlineStr">
        <is>
          <t>£56.40</t>
        </is>
      </c>
      <c r="C93">
        <f>HYPERLINK("https://books.toscrape.com/catalogue/masks-and-shadows_909/index.html","Open Link")</f>
        <v/>
      </c>
    </row>
    <row r="94">
      <c r="A94" t="inlineStr">
        <is>
          <t>Mama Tried: Traditional Italian ...</t>
        </is>
      </c>
      <c r="B94" t="inlineStr">
        <is>
          <t>£14.02</t>
        </is>
      </c>
      <c r="C94">
        <f>HYPERLINK("https://books.toscrape.com/catalogue/mama-tried-traditional-italian-cooking-for-the-screwed-crude-vegan-and-tattooed_908/index.html","Open Link")</f>
        <v/>
      </c>
    </row>
    <row r="95">
      <c r="A95" t="inlineStr">
        <is>
          <t>Lumberjanes, Vol. 2: Friendship ...</t>
        </is>
      </c>
      <c r="B95" t="inlineStr">
        <is>
          <t>£46.91</t>
        </is>
      </c>
      <c r="C95">
        <f>HYPERLINK("https://books.toscrape.com/catalogue/lumberjanes-vol-2-friendship-to-the-max-lumberjanes-5-8_907/index.html","Open Link")</f>
        <v/>
      </c>
    </row>
    <row r="96">
      <c r="A96" t="inlineStr">
        <is>
          <t>Lumberjanes, Vol. 1: Beware ...</t>
        </is>
      </c>
      <c r="B96" t="inlineStr">
        <is>
          <t>£45.61</t>
        </is>
      </c>
      <c r="C96">
        <f>HYPERLINK("https://books.toscrape.com/catalogue/lumberjanes-vol-1-beware-the-kitten-holy-lumberjanes-1-4_906/index.html","Open Link")</f>
        <v/>
      </c>
    </row>
    <row r="97">
      <c r="A97" t="inlineStr">
        <is>
          <t>Lumberjanes Vol. 3: A ...</t>
        </is>
      </c>
      <c r="B97" t="inlineStr">
        <is>
          <t>£19.92</t>
        </is>
      </c>
      <c r="C97">
        <f>HYPERLINK("https://books.toscrape.com/catalogue/lumberjanes-vol-3-a-terrible-plan-lumberjanes-9-12_905/index.html","Open Link")</f>
        <v/>
      </c>
    </row>
    <row r="98">
      <c r="A98" t="inlineStr">
        <is>
          <t>Layered: Baking, Building, and ...</t>
        </is>
      </c>
      <c r="B98" t="inlineStr">
        <is>
          <t>£40.11</t>
        </is>
      </c>
      <c r="C98">
        <f>HYPERLINK("https://books.toscrape.com/catalogue/layered-baking-building-and-styling-spectacular-cakes_904/index.html","Open Link")</f>
        <v/>
      </c>
    </row>
    <row r="99">
      <c r="A99" t="inlineStr">
        <is>
          <t>Judo: Seven Steps to ...</t>
        </is>
      </c>
      <c r="B99" t="inlineStr">
        <is>
          <t>£53.90</t>
        </is>
      </c>
      <c r="C99">
        <f>HYPERLINK("https://books.toscrape.com/catalogue/judo-seven-steps-to-black-belt-an-introductory-guide-for-beginners_903/index.html","Open Link")</f>
        <v/>
      </c>
    </row>
    <row r="100">
      <c r="A100" t="inlineStr">
        <is>
          <t>Join</t>
        </is>
      </c>
      <c r="B100" t="inlineStr">
        <is>
          <t>£35.67</t>
        </is>
      </c>
      <c r="C100">
        <f>HYPERLINK("https://books.toscrape.com/catalogue/join_902/index.html","Open Link")</f>
        <v/>
      </c>
    </row>
    <row r="101">
      <c r="A101" t="inlineStr">
        <is>
          <t>In the Country We ...</t>
        </is>
      </c>
      <c r="B101" t="inlineStr">
        <is>
          <t>£22.00</t>
        </is>
      </c>
      <c r="C101">
        <f>HYPERLINK("https://books.toscrape.com/catalogue/in-the-country-we-love-my-family-divided_901/index.html","Open Link")</f>
        <v/>
      </c>
    </row>
    <row r="102">
      <c r="A102" t="inlineStr">
        <is>
          <t>Immunity: How Elie Metchnikoff ...</t>
        </is>
      </c>
      <c r="B102" t="inlineStr">
        <is>
          <t>£57.36</t>
        </is>
      </c>
      <c r="C102">
        <f>HYPERLINK("https://books.toscrape.com/catalogue/immunity-how-elie-metchnikoff-changed-the-course-of-modern-medicine_900/index.html","Open Link")</f>
        <v/>
      </c>
    </row>
    <row r="103">
      <c r="A103" t="inlineStr">
        <is>
          <t>I Hate Fairyland, Vol. ...</t>
        </is>
      </c>
      <c r="B103" t="inlineStr">
        <is>
          <t>£29.17</t>
        </is>
      </c>
      <c r="C103">
        <f>HYPERLINK("https://books.toscrape.com/catalogue/i-hate-fairyland-vol-1-madly-ever-after-i-hate-fairyland-compilations-1-5_899/index.html","Open Link")</f>
        <v/>
      </c>
    </row>
    <row r="104">
      <c r="A104" t="inlineStr">
        <is>
          <t>I am a Hero ...</t>
        </is>
      </c>
      <c r="B104" t="inlineStr">
        <is>
          <t>£54.63</t>
        </is>
      </c>
      <c r="C104">
        <f>HYPERLINK("https://books.toscrape.com/catalogue/i-am-a-hero-omnibus-volume-1_898/index.html","Open Link")</f>
        <v/>
      </c>
    </row>
    <row r="105">
      <c r="A105" t="inlineStr">
        <is>
          <t>How to Be Miserable: ...</t>
        </is>
      </c>
      <c r="B105" t="inlineStr">
        <is>
          <t>£46.03</t>
        </is>
      </c>
      <c r="C105">
        <f>HYPERLINK("https://books.toscrape.com/catalogue/how-to-be-miserable-40-strategies-you-already-use_897/index.html","Open Link")</f>
        <v/>
      </c>
    </row>
    <row r="106">
      <c r="A106" t="inlineStr">
        <is>
          <t>Her Backup Boyfriend (The ...</t>
        </is>
      </c>
      <c r="B106" t="inlineStr">
        <is>
          <t>£33.97</t>
        </is>
      </c>
      <c r="C106">
        <f>HYPERLINK("https://books.toscrape.com/catalogue/her-backup-boyfriend-the-sorensen-family-1_896/index.html","Open Link")</f>
        <v/>
      </c>
    </row>
    <row r="107">
      <c r="A107" t="inlineStr">
        <is>
          <t>Giant Days, Vol. 2 ...</t>
        </is>
      </c>
      <c r="B107" t="inlineStr">
        <is>
          <t>£22.11</t>
        </is>
      </c>
      <c r="C107">
        <f>HYPERLINK("https://books.toscrape.com/catalogue/giant-days-vol-2-giant-days-5-8_895/index.html","Open Link")</f>
        <v/>
      </c>
    </row>
    <row r="108">
      <c r="A108" t="inlineStr">
        <is>
          <t>Forever and Forever: The ...</t>
        </is>
      </c>
      <c r="B108" t="inlineStr">
        <is>
          <t>£29.69</t>
        </is>
      </c>
      <c r="C108">
        <f>HYPERLINK("https://books.toscrape.com/catalogue/forever-and-forever-the-courtship-of-henry-longfellow-and-fanny-appleton_894/index.html","Open Link")</f>
        <v/>
      </c>
    </row>
    <row r="109">
      <c r="A109" t="inlineStr">
        <is>
          <t>First and First (Five ...</t>
        </is>
      </c>
      <c r="B109" t="inlineStr">
        <is>
          <t>£15.97</t>
        </is>
      </c>
      <c r="C109">
        <f>HYPERLINK("https://books.toscrape.com/catalogue/first-and-first-five-boroughs-3_893/index.html","Open Link")</f>
        <v/>
      </c>
    </row>
    <row r="110">
      <c r="A110" t="inlineStr">
        <is>
          <t>Fifty Shades Darker (Fifty ...</t>
        </is>
      </c>
      <c r="B110" t="inlineStr">
        <is>
          <t>£21.96</t>
        </is>
      </c>
      <c r="C110">
        <f>HYPERLINK("https://books.toscrape.com/catalogue/fifty-shades-darker-fifty-shades-2_892/index.html","Open Link")</f>
        <v/>
      </c>
    </row>
    <row r="111">
      <c r="A111" t="inlineStr">
        <is>
          <t>Everydata: The Misinformation Hidden ...</t>
        </is>
      </c>
      <c r="B111" t="inlineStr">
        <is>
          <t>£54.35</t>
        </is>
      </c>
      <c r="C111">
        <f>HYPERLINK("https://books.toscrape.com/catalogue/everydata-the-misinformation-hidden-in-the-little-data-you-consume-every-day_891/index.html","Open Link")</f>
        <v/>
      </c>
    </row>
    <row r="112">
      <c r="A112" t="inlineStr">
        <is>
          <t>Don't Be a Jerk: ...</t>
        </is>
      </c>
      <c r="B112" t="inlineStr">
        <is>
          <t>£37.97</t>
        </is>
      </c>
      <c r="C112">
        <f>HYPERLINK("https://books.toscrape.com/catalogue/dont-be-a-jerk-and-other-practical-advice-from-dogen-japans-greatest-zen-master_890/index.html","Open Link")</f>
        <v/>
      </c>
    </row>
    <row r="113">
      <c r="A113" t="inlineStr">
        <is>
          <t>Danganronpa Volume 1</t>
        </is>
      </c>
      <c r="B113" t="inlineStr">
        <is>
          <t>£51.99</t>
        </is>
      </c>
      <c r="C113">
        <f>HYPERLINK("https://books.toscrape.com/catalogue/danganronpa-volume-1_889/index.html","Open Link")</f>
        <v/>
      </c>
    </row>
    <row r="114">
      <c r="A114" t="inlineStr">
        <is>
          <t>Crown of Midnight (Throne ...</t>
        </is>
      </c>
      <c r="B114" t="inlineStr">
        <is>
          <t>£43.29</t>
        </is>
      </c>
      <c r="C114">
        <f>HYPERLINK("https://books.toscrape.com/catalogue/crown-of-midnight-throne-of-glass-2_888/index.html","Open Link")</f>
        <v/>
      </c>
    </row>
    <row r="115">
      <c r="A115" t="inlineStr">
        <is>
          <t>Codename Baboushka, Volume 1: ...</t>
        </is>
      </c>
      <c r="B115" t="inlineStr">
        <is>
          <t>£36.72</t>
        </is>
      </c>
      <c r="C115">
        <f>HYPERLINK("https://books.toscrape.com/catalogue/codename-baboushka-volume-1-the-conclave-of-death_887/index.html","Open Link")</f>
        <v/>
      </c>
    </row>
    <row r="116">
      <c r="A116" t="inlineStr">
        <is>
          <t>Camp Midnight</t>
        </is>
      </c>
      <c r="B116" t="inlineStr">
        <is>
          <t>£17.08</t>
        </is>
      </c>
      <c r="C116">
        <f>HYPERLINK("https://books.toscrape.com/catalogue/camp-midnight_886/index.html","Open Link")</f>
        <v/>
      </c>
    </row>
    <row r="117">
      <c r="A117" t="inlineStr">
        <is>
          <t>Call the Nurse: True ...</t>
        </is>
      </c>
      <c r="B117" t="inlineStr">
        <is>
          <t>£29.14</t>
        </is>
      </c>
      <c r="C117">
        <f>HYPERLINK("https://books.toscrape.com/catalogue/call-the-nurse-true-stories-of-a-country-nurse-on-a-scottish-isle_885/index.html","Open Link")</f>
        <v/>
      </c>
    </row>
    <row r="118">
      <c r="A118" t="inlineStr">
        <is>
          <t>Burning</t>
        </is>
      </c>
      <c r="B118" t="inlineStr">
        <is>
          <t>£28.81</t>
        </is>
      </c>
      <c r="C118">
        <f>HYPERLINK("https://books.toscrape.com/catalogue/burning_884/index.html","Open Link")</f>
        <v/>
      </c>
    </row>
    <row r="119">
      <c r="A119" t="inlineStr">
        <is>
          <t>Bossypants</t>
        </is>
      </c>
      <c r="B119" t="inlineStr">
        <is>
          <t>£49.46</t>
        </is>
      </c>
      <c r="C119">
        <f>HYPERLINK("https://books.toscrape.com/catalogue/bossypants_883/index.html","Open Link")</f>
        <v/>
      </c>
    </row>
    <row r="120">
      <c r="A120" t="inlineStr">
        <is>
          <t>Bitch Planet, Vol. 1: ...</t>
        </is>
      </c>
      <c r="B120" t="inlineStr">
        <is>
          <t>£37.92</t>
        </is>
      </c>
      <c r="C120">
        <f>HYPERLINK("https://books.toscrape.com/catalogue/bitch-planet-vol-1-extraordinary-machine-bitch-planet-collected-editions_882/index.html","Open Link")</f>
        <v/>
      </c>
    </row>
    <row r="121">
      <c r="A121" t="inlineStr">
        <is>
          <t>Avatar: The Last Airbender: ...</t>
        </is>
      </c>
      <c r="B121" t="inlineStr">
        <is>
          <t>£28.09</t>
        </is>
      </c>
      <c r="C121">
        <f>HYPERLINK("https://books.toscrape.com/catalogue/avatar-the-last-airbender-smoke-and-shadow-part-3-smoke-and-shadow-3_881/index.html","Open Link")</f>
        <v/>
      </c>
    </row>
    <row r="122">
      <c r="A122" t="inlineStr">
        <is>
          <t>Algorithms to Live By: ...</t>
        </is>
      </c>
      <c r="B122" t="inlineStr">
        <is>
          <t>£30.81</t>
        </is>
      </c>
      <c r="C122">
        <f>HYPERLINK("https://books.toscrape.com/catalogue/algorithms-to-live-by-the-computer-science-of-human-decisions_880/index.html","Open Link")</f>
        <v/>
      </c>
    </row>
    <row r="123">
      <c r="A123" t="inlineStr">
        <is>
          <t>A World of Flavor: ...</t>
        </is>
      </c>
      <c r="B123" t="inlineStr">
        <is>
          <t>£42.95</t>
        </is>
      </c>
      <c r="C123">
        <f>HYPERLINK("https://books.toscrape.com/catalogue/a-world-of-flavor-your-gluten-free-passport_879/index.html","Open Link")</f>
        <v/>
      </c>
    </row>
    <row r="124">
      <c r="A124" t="inlineStr">
        <is>
          <t>A Piece of Sky, ...</t>
        </is>
      </c>
      <c r="B124" t="inlineStr">
        <is>
          <t>£56.76</t>
        </is>
      </c>
      <c r="C124">
        <f>HYPERLINK("https://books.toscrape.com/catalogue/a-piece-of-sky-a-grain-of-rice-a-memoir-in-four-meditations_878/index.html","Open Link")</f>
        <v/>
      </c>
    </row>
    <row r="125">
      <c r="A125" t="inlineStr">
        <is>
          <t>A Murder in Time</t>
        </is>
      </c>
      <c r="B125" t="inlineStr">
        <is>
          <t>£16.64</t>
        </is>
      </c>
      <c r="C125">
        <f>HYPERLINK("https://books.toscrape.com/catalogue/a-murder-in-time_877/index.html","Open Link")</f>
        <v/>
      </c>
    </row>
    <row r="126">
      <c r="A126" t="inlineStr">
        <is>
          <t>A Flight of Arrows ...</t>
        </is>
      </c>
      <c r="B126" t="inlineStr">
        <is>
          <t>£55.53</t>
        </is>
      </c>
      <c r="C126">
        <f>HYPERLINK("https://books.toscrape.com/catalogue/a-flight-of-arrows-the-pathfinders-2_876/index.html","Open Link")</f>
        <v/>
      </c>
    </row>
    <row r="127">
      <c r="A127" t="inlineStr">
        <is>
          <t>A Fierce and Subtle ...</t>
        </is>
      </c>
      <c r="B127" t="inlineStr">
        <is>
          <t>£28.13</t>
        </is>
      </c>
      <c r="C127">
        <f>HYPERLINK("https://books.toscrape.com/catalogue/a-fierce-and-subtle-poison_875/index.html","Open Link")</f>
        <v/>
      </c>
    </row>
    <row r="128">
      <c r="A128" t="inlineStr">
        <is>
          <t>A Court of Thorns ...</t>
        </is>
      </c>
      <c r="B128" t="inlineStr">
        <is>
          <t>£52.37</t>
        </is>
      </c>
      <c r="C128">
        <f>HYPERLINK("https://books.toscrape.com/catalogue/a-court-of-thorns-and-roses-a-court-of-thorns-and-roses-1_874/index.html","Open Link")</f>
        <v/>
      </c>
    </row>
    <row r="129">
      <c r="A129" t="inlineStr">
        <is>
          <t>(Un)Qualified: How God Uses ...</t>
        </is>
      </c>
      <c r="B129" t="inlineStr">
        <is>
          <t>£54.00</t>
        </is>
      </c>
      <c r="C129">
        <f>HYPERLINK("https://books.toscrape.com/catalogue/unqualified-how-god-uses-broken-people-to-do-big-things_873/index.html","Open Link")</f>
        <v/>
      </c>
    </row>
    <row r="130">
      <c r="A130" t="inlineStr">
        <is>
          <t>You Are What You ...</t>
        </is>
      </c>
      <c r="B130" t="inlineStr">
        <is>
          <t>£21.87</t>
        </is>
      </c>
      <c r="C130">
        <f>HYPERLINK("https://books.toscrape.com/catalogue/you-are-what-you-love-the-spiritual-power-of-habit_872/index.html","Open Link")</f>
        <v/>
      </c>
    </row>
    <row r="131">
      <c r="A131" t="inlineStr">
        <is>
          <t>William Shakespeare's Star Wars: ...</t>
        </is>
      </c>
      <c r="B131" t="inlineStr">
        <is>
          <t>£43.30</t>
        </is>
      </c>
      <c r="C131">
        <f>HYPERLINK("https://books.toscrape.com/catalogue/william-shakespeares-star-wars-verily-a-new-hope-william-shakespeares-star-wars-4_871/index.html","Open Link")</f>
        <v/>
      </c>
    </row>
    <row r="132">
      <c r="A132" t="inlineStr">
        <is>
          <t>Tuesday Nights in 1980</t>
        </is>
      </c>
      <c r="B132" t="inlineStr">
        <is>
          <t>£21.04</t>
        </is>
      </c>
      <c r="C132">
        <f>HYPERLINK("https://books.toscrape.com/catalogue/tuesday-nights-in-1980_870/index.html","Open Link")</f>
        <v/>
      </c>
    </row>
    <row r="133">
      <c r="A133" t="inlineStr">
        <is>
          <t>Tracing Numbers on a ...</t>
        </is>
      </c>
      <c r="B133" t="inlineStr">
        <is>
          <t>£41.60</t>
        </is>
      </c>
      <c r="C133">
        <f>HYPERLINK("https://books.toscrape.com/catalogue/tracing-numbers-on-a-train_869/index.html","Open Link")</f>
        <v/>
      </c>
    </row>
    <row r="134">
      <c r="A134" t="inlineStr">
        <is>
          <t>Throne of Glass (Throne ...</t>
        </is>
      </c>
      <c r="B134" t="inlineStr">
        <is>
          <t>£35.07</t>
        </is>
      </c>
      <c r="C134">
        <f>HYPERLINK("https://books.toscrape.com/catalogue/throne-of-glass-throne-of-glass-1_868/index.html","Open Link")</f>
        <v/>
      </c>
    </row>
    <row r="135">
      <c r="A135" t="inlineStr">
        <is>
          <t>Thomas Jefferson and the ...</t>
        </is>
      </c>
      <c r="B135" t="inlineStr">
        <is>
          <t>£59.64</t>
        </is>
      </c>
      <c r="C135">
        <f>HYPERLINK("https://books.toscrape.com/catalogue/thomas-jefferson-and-the-tripoli-pirates-the-forgotten-war-that-changed-american-history_867/index.html","Open Link")</f>
        <v/>
      </c>
    </row>
    <row r="136">
      <c r="A136" t="inlineStr">
        <is>
          <t>Thirteen Reasons Why</t>
        </is>
      </c>
      <c r="B136" t="inlineStr">
        <is>
          <t>£52.72</t>
        </is>
      </c>
      <c r="C136">
        <f>HYPERLINK("https://books.toscrape.com/catalogue/thirteen-reasons-why_866/index.html","Open Link")</f>
        <v/>
      </c>
    </row>
    <row r="137">
      <c r="A137" t="inlineStr">
        <is>
          <t>The White Cat and ...</t>
        </is>
      </c>
      <c r="B137" t="inlineStr">
        <is>
          <t>£58.08</t>
        </is>
      </c>
      <c r="C137">
        <f>HYPERLINK("https://books.toscrape.com/catalogue/the-white-cat-and-the-monk-a-retelling-of-the-poem-pangur-ban_865/index.html","Open Link")</f>
        <v/>
      </c>
    </row>
    <row r="138">
      <c r="A138" t="inlineStr">
        <is>
          <t>The Wedding Dress</t>
        </is>
      </c>
      <c r="B138" t="inlineStr">
        <is>
          <t>£24.12</t>
        </is>
      </c>
      <c r="C138">
        <f>HYPERLINK("https://books.toscrape.com/catalogue/the-wedding-dress_864/index.html","Open Link")</f>
        <v/>
      </c>
    </row>
    <row r="139">
      <c r="A139" t="inlineStr">
        <is>
          <t>The Vacationers</t>
        </is>
      </c>
      <c r="B139" t="inlineStr">
        <is>
          <t>£42.15</t>
        </is>
      </c>
      <c r="C139">
        <f>HYPERLINK("https://books.toscrape.com/catalogue/the-vacationers_863/index.html","Open Link")</f>
        <v/>
      </c>
    </row>
    <row r="140">
      <c r="A140" t="inlineStr">
        <is>
          <t>The Third Wave: An ...</t>
        </is>
      </c>
      <c r="B140" t="inlineStr">
        <is>
          <t>£12.61</t>
        </is>
      </c>
      <c r="C140">
        <f>HYPERLINK("https://books.toscrape.com/catalogue/the-third-wave-an-entrepreneurs-vision-of-the-future_862/index.html","Open Link")</f>
        <v/>
      </c>
    </row>
    <row r="141">
      <c r="A141" t="inlineStr">
        <is>
          <t>The Stranger</t>
        </is>
      </c>
      <c r="B141" t="inlineStr">
        <is>
          <t>£17.44</t>
        </is>
      </c>
      <c r="C141">
        <f>HYPERLINK("https://books.toscrape.com/catalogue/the-stranger_861/index.html","Open Link")</f>
        <v/>
      </c>
    </row>
    <row r="142">
      <c r="A142" t="inlineStr">
        <is>
          <t>The Shadow Hero (The ...</t>
        </is>
      </c>
      <c r="B142" t="inlineStr">
        <is>
          <t>£33.14</t>
        </is>
      </c>
      <c r="C142">
        <f>HYPERLINK("https://books.toscrape.com/catalogue/the-shadow-hero-the-shadow-hero_860/index.html","Open Link")</f>
        <v/>
      </c>
    </row>
    <row r="143">
      <c r="A143" t="inlineStr">
        <is>
          <t>The Secret (The Secret ...</t>
        </is>
      </c>
      <c r="B143" t="inlineStr">
        <is>
          <t>£27.37</t>
        </is>
      </c>
      <c r="C143">
        <f>HYPERLINK("https://books.toscrape.com/catalogue/the-secret-the-secret-1_859/index.html","Open Link")</f>
        <v/>
      </c>
    </row>
    <row r="144">
      <c r="A144" t="inlineStr">
        <is>
          <t>The Regional Office Is ...</t>
        </is>
      </c>
      <c r="B144" t="inlineStr">
        <is>
          <t>£51.36</t>
        </is>
      </c>
      <c r="C144">
        <f>HYPERLINK("https://books.toscrape.com/catalogue/the-regional-office-is-under-attack_858/index.html","Open Link")</f>
        <v/>
      </c>
    </row>
    <row r="145">
      <c r="A145" t="inlineStr">
        <is>
          <t>The Psychopath Test: A ...</t>
        </is>
      </c>
      <c r="B145" t="inlineStr">
        <is>
          <t>£36.00</t>
        </is>
      </c>
      <c r="C145">
        <f>HYPERLINK("https://books.toscrape.com/catalogue/the-psychopath-test-a-journey-through-the-madness-industry_857/index.html","Open Link")</f>
        <v/>
      </c>
    </row>
    <row r="146">
      <c r="A146" t="inlineStr">
        <is>
          <t>The Project</t>
        </is>
      </c>
      <c r="B146" t="inlineStr">
        <is>
          <t>£10.65</t>
        </is>
      </c>
      <c r="C146">
        <f>HYPERLINK("https://books.toscrape.com/catalogue/the-project_856/index.html","Open Link")</f>
        <v/>
      </c>
    </row>
    <row r="147">
      <c r="A147" t="inlineStr">
        <is>
          <t>The Power of Now: ...</t>
        </is>
      </c>
      <c r="B147" t="inlineStr">
        <is>
          <t>£43.54</t>
        </is>
      </c>
      <c r="C147">
        <f>HYPERLINK("https://books.toscrape.com/catalogue/the-power-of-now-a-guide-to-spiritual-enlightenment_855/index.html","Open Link")</f>
        <v/>
      </c>
    </row>
    <row r="148">
      <c r="A148" t="inlineStr">
        <is>
          <t>The Omnivore's Dilemma: A ...</t>
        </is>
      </c>
      <c r="B148" t="inlineStr">
        <is>
          <t>£38.21</t>
        </is>
      </c>
      <c r="C148">
        <f>HYPERLINK("https://books.toscrape.com/catalogue/the-omnivores-dilemma-a-natural-history-of-four-meals_854/index.html","Open Link")</f>
        <v/>
      </c>
    </row>
    <row r="149">
      <c r="A149" t="inlineStr">
        <is>
          <t>The Nerdy Nummies Cookbook: ...</t>
        </is>
      </c>
      <c r="B149" t="inlineStr">
        <is>
          <t>£37.34</t>
        </is>
      </c>
      <c r="C149">
        <f>HYPERLINK("https://books.toscrape.com/catalogue/the-nerdy-nummies-cookbook-sweet-treats-for-the-geek-in-all-of-us_853/index.html","Open Link")</f>
        <v/>
      </c>
    </row>
    <row r="150">
      <c r="A150" t="inlineStr">
        <is>
          <t>The Murder of Roger ...</t>
        </is>
      </c>
      <c r="B150" t="inlineStr">
        <is>
          <t>£44.10</t>
        </is>
      </c>
      <c r="C150">
        <f>HYPERLINK("https://books.toscrape.com/catalogue/the-murder-of-roger-ackroyd-hercule-poirot-4_852/index.html","Open Link")</f>
        <v/>
      </c>
    </row>
    <row r="151">
      <c r="A151" t="inlineStr">
        <is>
          <t>The Mistake (Off-Campus #2)</t>
        </is>
      </c>
      <c r="B151" t="inlineStr">
        <is>
          <t>£43.29</t>
        </is>
      </c>
      <c r="C151">
        <f>HYPERLINK("https://books.toscrape.com/catalogue/the-mistake-off-campus-2_851/index.html","Open Link")</f>
        <v/>
      </c>
    </row>
    <row r="152">
      <c r="A152" t="inlineStr">
        <is>
          <t>The Matchmaker's Playbook (Wingmen ...</t>
        </is>
      </c>
      <c r="B152" t="inlineStr">
        <is>
          <t>£55.85</t>
        </is>
      </c>
      <c r="C152">
        <f>HYPERLINK("https://books.toscrape.com/catalogue/the-matchmakers-playbook-wingmen-inc-1_850/index.html","Open Link")</f>
        <v/>
      </c>
    </row>
    <row r="153">
      <c r="A153" t="inlineStr">
        <is>
          <t>The Love and Lemons ...</t>
        </is>
      </c>
      <c r="B153" t="inlineStr">
        <is>
          <t>£37.60</t>
        </is>
      </c>
      <c r="C153">
        <f>HYPERLINK("https://books.toscrape.com/catalogue/the-love-and-lemons-cookbook-an-apple-to-zucchini-celebration-of-impromptu-cooking_849/index.html","Open Link")</f>
        <v/>
      </c>
    </row>
    <row r="154">
      <c r="A154" t="inlineStr">
        <is>
          <t>The Long Shadow of ...</t>
        </is>
      </c>
      <c r="B154" t="inlineStr">
        <is>
          <t>£10.97</t>
        </is>
      </c>
      <c r="C154">
        <f>HYPERLINK("https://books.toscrape.com/catalogue/the-long-shadow-of-small-ghosts-murder-and-memory-in-an-american-city_848/index.html","Open Link")</f>
        <v/>
      </c>
    </row>
    <row r="155">
      <c r="A155" t="inlineStr">
        <is>
          <t>The Kite Runner</t>
        </is>
      </c>
      <c r="B155" t="inlineStr">
        <is>
          <t>£41.82</t>
        </is>
      </c>
      <c r="C155">
        <f>HYPERLINK("https://books.toscrape.com/catalogue/the-kite-runner_847/index.html","Open Link")</f>
        <v/>
      </c>
    </row>
    <row r="156">
      <c r="A156" t="inlineStr">
        <is>
          <t>The House by the ...</t>
        </is>
      </c>
      <c r="B156" t="inlineStr">
        <is>
          <t>£36.95</t>
        </is>
      </c>
      <c r="C156">
        <f>HYPERLINK("https://books.toscrape.com/catalogue/the-house-by-the-lake_846/index.html","Open Link")</f>
        <v/>
      </c>
    </row>
    <row r="157">
      <c r="A157" t="inlineStr">
        <is>
          <t>The Glittering Court (The ...</t>
        </is>
      </c>
      <c r="B157" t="inlineStr">
        <is>
          <t>£44.28</t>
        </is>
      </c>
      <c r="C157">
        <f>HYPERLINK("https://books.toscrape.com/catalogue/the-glittering-court-the-glittering-court-1_845/index.html","Open Link")</f>
        <v/>
      </c>
    </row>
    <row r="158">
      <c r="A158" t="inlineStr">
        <is>
          <t>The Girl on the ...</t>
        </is>
      </c>
      <c r="B158" t="inlineStr">
        <is>
          <t>£55.02</t>
        </is>
      </c>
      <c r="C158">
        <f>HYPERLINK("https://books.toscrape.com/catalogue/the-girl-on-the-train_844/index.html","Open Link")</f>
        <v/>
      </c>
    </row>
    <row r="159">
      <c r="A159" t="inlineStr">
        <is>
          <t>The Genius of Birds</t>
        </is>
      </c>
      <c r="B159" t="inlineStr">
        <is>
          <t>£17.24</t>
        </is>
      </c>
      <c r="C159">
        <f>HYPERLINK("https://books.toscrape.com/catalogue/the-genius-of-birds_843/index.html","Open Link")</f>
        <v/>
      </c>
    </row>
    <row r="160">
      <c r="A160" t="inlineStr">
        <is>
          <t>The Emerald Mystery</t>
        </is>
      </c>
      <c r="B160" t="inlineStr">
        <is>
          <t>£23.15</t>
        </is>
      </c>
      <c r="C160">
        <f>HYPERLINK("https://books.toscrape.com/catalogue/the-emerald-mystery_842/index.html","Open Link")</f>
        <v/>
      </c>
    </row>
    <row r="161">
      <c r="A161" t="inlineStr">
        <is>
          <t>The Cookies &amp; Cups ...</t>
        </is>
      </c>
      <c r="B161" t="inlineStr">
        <is>
          <t>£41.25</t>
        </is>
      </c>
      <c r="C161">
        <f>HYPERLINK("https://books.toscrape.com/catalogue/the-cookies-cups-cookbook-125-sweet-savory-recipes-reminding-you-to-always-eat-dessert-first_841/index.html","Open Link")</f>
        <v/>
      </c>
    </row>
    <row r="162">
      <c r="A162" t="inlineStr">
        <is>
          <t>The Bridge to Consciousness: ...</t>
        </is>
      </c>
      <c r="B162" t="inlineStr">
        <is>
          <t>£32.00</t>
        </is>
      </c>
      <c r="C162">
        <f>HYPERLINK("https://books.toscrape.com/catalogue/the-bridge-to-consciousness-im-writing-the-bridge-between-science-and-our-old-and-new-beliefs_840/index.html","Open Link")</f>
        <v/>
      </c>
    </row>
    <row r="163">
      <c r="A163" t="inlineStr">
        <is>
          <t>The Artist's Way: A ...</t>
        </is>
      </c>
      <c r="B163" t="inlineStr">
        <is>
          <t>£38.49</t>
        </is>
      </c>
      <c r="C163">
        <f>HYPERLINK("https://books.toscrape.com/catalogue/the-artists-way-a-spiritual-path-to-higher-creativity_839/index.html","Open Link")</f>
        <v/>
      </c>
    </row>
    <row r="164">
      <c r="A164" t="inlineStr">
        <is>
          <t>The Art of War</t>
        </is>
      </c>
      <c r="B164" t="inlineStr">
        <is>
          <t>£33.34</t>
        </is>
      </c>
      <c r="C164">
        <f>HYPERLINK("https://books.toscrape.com/catalogue/the-art-of-war_838/index.html","Open Link")</f>
        <v/>
      </c>
    </row>
    <row r="165">
      <c r="A165" t="inlineStr">
        <is>
          <t>The Argonauts</t>
        </is>
      </c>
      <c r="B165" t="inlineStr">
        <is>
          <t>£10.93</t>
        </is>
      </c>
      <c r="C165">
        <f>HYPERLINK("https://books.toscrape.com/catalogue/the-argonauts_837/index.html","Open Link")</f>
        <v/>
      </c>
    </row>
    <row r="166">
      <c r="A166" t="inlineStr">
        <is>
          <t>The 10% Entrepreneur: Live ...</t>
        </is>
      </c>
      <c r="B166" t="inlineStr">
        <is>
          <t>£27.55</t>
        </is>
      </c>
      <c r="C166">
        <f>HYPERLINK("https://books.toscrape.com/catalogue/the-10-entrepreneur-live-your-startup-dream-without-quitting-your-day-job_836/index.html","Open Link")</f>
        <v/>
      </c>
    </row>
    <row r="167">
      <c r="A167" t="inlineStr">
        <is>
          <t>Suddenly in Love (Lake ...</t>
        </is>
      </c>
      <c r="B167" t="inlineStr">
        <is>
          <t>£55.99</t>
        </is>
      </c>
      <c r="C167">
        <f>HYPERLINK("https://books.toscrape.com/catalogue/suddenly-in-love-lake-haven-1_835/index.html","Open Link")</f>
        <v/>
      </c>
    </row>
    <row r="168">
      <c r="A168" t="inlineStr">
        <is>
          <t>Something More Than This</t>
        </is>
      </c>
      <c r="B168" t="inlineStr">
        <is>
          <t>£16.24</t>
        </is>
      </c>
      <c r="C168">
        <f>HYPERLINK("https://books.toscrape.com/catalogue/something-more-than-this_834/index.html","Open Link")</f>
        <v/>
      </c>
    </row>
    <row r="169">
      <c r="A169" t="inlineStr">
        <is>
          <t>Soft Apocalypse</t>
        </is>
      </c>
      <c r="B169" t="inlineStr">
        <is>
          <t>£26.12</t>
        </is>
      </c>
      <c r="C169">
        <f>HYPERLINK("https://books.toscrape.com/catalogue/soft-apocalypse_833/index.html","Open Link")</f>
        <v/>
      </c>
    </row>
    <row r="170">
      <c r="A170" t="inlineStr">
        <is>
          <t>So You've Been Publicly ...</t>
        </is>
      </c>
      <c r="B170" t="inlineStr">
        <is>
          <t>£12.23</t>
        </is>
      </c>
      <c r="C170">
        <f>HYPERLINK("https://books.toscrape.com/catalogue/so-youve-been-publicly-shamed_832/index.html","Open Link")</f>
        <v/>
      </c>
    </row>
    <row r="171">
      <c r="A171" t="inlineStr">
        <is>
          <t>Shoe Dog: A Memoir ...</t>
        </is>
      </c>
      <c r="B171" t="inlineStr">
        <is>
          <t>£23.99</t>
        </is>
      </c>
      <c r="C171">
        <f>HYPERLINK("https://books.toscrape.com/catalogue/shoe-dog-a-memoir-by-the-creator-of-nike_831/index.html","Open Link")</f>
        <v/>
      </c>
    </row>
    <row r="172">
      <c r="A172" t="inlineStr">
        <is>
          <t>Shobu Samurai, Project Aryoku ...</t>
        </is>
      </c>
      <c r="B172" t="inlineStr">
        <is>
          <t>£29.06</t>
        </is>
      </c>
      <c r="C172">
        <f>HYPERLINK("https://books.toscrape.com/catalogue/shobu-samurai-project-aryoku-3_830/index.html","Open Link")</f>
        <v/>
      </c>
    </row>
    <row r="173">
      <c r="A173" t="inlineStr">
        <is>
          <t>Secrets and Lace (Fatal ...</t>
        </is>
      </c>
      <c r="B173" t="inlineStr">
        <is>
          <t>£20.27</t>
        </is>
      </c>
      <c r="C173">
        <f>HYPERLINK("https://books.toscrape.com/catalogue/secrets-and-lace-fatal-hearts-1_829/index.html","Open Link")</f>
        <v/>
      </c>
    </row>
    <row r="174">
      <c r="A174" t="inlineStr">
        <is>
          <t>Scarlett Epstein Hates It ...</t>
        </is>
      </c>
      <c r="B174" t="inlineStr">
        <is>
          <t>£43.55</t>
        </is>
      </c>
      <c r="C174">
        <f>HYPERLINK("https://books.toscrape.com/catalogue/scarlett-epstein-hates-it-here_828/index.html","Open Link")</f>
        <v/>
      </c>
    </row>
    <row r="175">
      <c r="A175" t="inlineStr">
        <is>
          <t>Romero and Juliet: A ...</t>
        </is>
      </c>
      <c r="B175" t="inlineStr">
        <is>
          <t>£36.94</t>
        </is>
      </c>
      <c r="C175">
        <f>HYPERLINK("https://books.toscrape.com/catalogue/romero-and-juliet-a-tragic-tale-of-love-and-zombies_827/index.html","Open Link")</f>
        <v/>
      </c>
    </row>
    <row r="176">
      <c r="A176" t="inlineStr">
        <is>
          <t>Redeeming Love</t>
        </is>
      </c>
      <c r="B176" t="inlineStr">
        <is>
          <t>£20.47</t>
        </is>
      </c>
      <c r="C176">
        <f>HYPERLINK("https://books.toscrape.com/catalogue/redeeming-love_826/index.html","Open Link")</f>
        <v/>
      </c>
    </row>
    <row r="177">
      <c r="A177" t="inlineStr">
        <is>
          <t>Poses for Artists Volume ...</t>
        </is>
      </c>
      <c r="B177" t="inlineStr">
        <is>
          <t>£41.06</t>
        </is>
      </c>
      <c r="C177">
        <f>HYPERLINK("https://books.toscrape.com/catalogue/poses-for-artists-volume-1-dynamic-and-sitting-poses-an-essential-reference-for-figure-drawing-and-the-human-form_825/index.html","Open Link")</f>
        <v/>
      </c>
    </row>
    <row r="178">
      <c r="A178" t="inlineStr">
        <is>
          <t>Poems That Make Grown ...</t>
        </is>
      </c>
      <c r="B178" t="inlineStr">
        <is>
          <t>£14.19</t>
        </is>
      </c>
      <c r="C178">
        <f>HYPERLINK("https://books.toscrape.com/catalogue/poems-that-make-grown-women-cry_824/index.html","Open Link")</f>
        <v/>
      </c>
    </row>
    <row r="179">
      <c r="A179" t="inlineStr">
        <is>
          <t>Nightingale, Sing</t>
        </is>
      </c>
      <c r="B179" t="inlineStr">
        <is>
          <t>£38.28</t>
        </is>
      </c>
      <c r="C179">
        <f>HYPERLINK("https://books.toscrape.com/catalogue/nightingale-sing_823/index.html","Open Link")</f>
        <v/>
      </c>
    </row>
    <row r="180">
      <c r="A180" t="inlineStr">
        <is>
          <t>Night Sky with Exit ...</t>
        </is>
      </c>
      <c r="B180" t="inlineStr">
        <is>
          <t>£41.05</t>
        </is>
      </c>
      <c r="C180">
        <f>HYPERLINK("https://books.toscrape.com/catalogue/night-sky-with-exit-wounds_822/index.html","Open Link")</f>
        <v/>
      </c>
    </row>
    <row r="181">
      <c r="A181" t="inlineStr">
        <is>
          <t>Mrs. Houdini</t>
        </is>
      </c>
      <c r="B181" t="inlineStr">
        <is>
          <t>£30.25</t>
        </is>
      </c>
      <c r="C181">
        <f>HYPERLINK("https://books.toscrape.com/catalogue/mrs-houdini_821/index.html","Open Link")</f>
        <v/>
      </c>
    </row>
    <row r="182">
      <c r="A182" t="inlineStr">
        <is>
          <t>Modern Romance</t>
        </is>
      </c>
      <c r="B182" t="inlineStr">
        <is>
          <t>£28.26</t>
        </is>
      </c>
      <c r="C182">
        <f>HYPERLINK("https://books.toscrape.com/catalogue/modern-romance_820/index.html","Open Link")</f>
        <v/>
      </c>
    </row>
    <row r="183">
      <c r="A183" t="inlineStr">
        <is>
          <t>Miss Peregrine’s Home for ...</t>
        </is>
      </c>
      <c r="B183" t="inlineStr">
        <is>
          <t>£10.76</t>
        </is>
      </c>
      <c r="C183">
        <f>HYPERLINK("https://books.toscrape.com/catalogue/miss-peregrines-home-for-peculiar-children-miss-peregrines-peculiar-children-1_819/index.html","Open Link")</f>
        <v/>
      </c>
    </row>
    <row r="184">
      <c r="A184" t="inlineStr">
        <is>
          <t>Louisa: The Extraordinary Life ...</t>
        </is>
      </c>
      <c r="B184" t="inlineStr">
        <is>
          <t>£16.85</t>
        </is>
      </c>
      <c r="C184">
        <f>HYPERLINK("https://books.toscrape.com/catalogue/louisa-the-extraordinary-life-of-mrs-adams_818/index.html","Open Link")</f>
        <v/>
      </c>
    </row>
    <row r="185">
      <c r="A185" t="inlineStr">
        <is>
          <t>Little Red</t>
        </is>
      </c>
      <c r="B185" t="inlineStr">
        <is>
          <t>£13.47</t>
        </is>
      </c>
      <c r="C185">
        <f>HYPERLINK("https://books.toscrape.com/catalogue/little-red_817/index.html","Open Link")</f>
        <v/>
      </c>
    </row>
    <row r="186">
      <c r="A186" t="inlineStr">
        <is>
          <t>Library of Souls (Miss ...</t>
        </is>
      </c>
      <c r="B186" t="inlineStr">
        <is>
          <t>£48.56</t>
        </is>
      </c>
      <c r="C186">
        <f>HYPERLINK("https://books.toscrape.com/catalogue/library-of-souls-miss-peregrines-peculiar-children-3_816/index.html","Open Link")</f>
        <v/>
      </c>
    </row>
    <row r="187">
      <c r="A187" t="inlineStr">
        <is>
          <t>Large Print Heart of ...</t>
        </is>
      </c>
      <c r="B187" t="inlineStr">
        <is>
          <t>£19.15</t>
        </is>
      </c>
      <c r="C187">
        <f>HYPERLINK("https://books.toscrape.com/catalogue/large-print-heart-of-the-pride_815/index.html","Open Link")</f>
        <v/>
      </c>
    </row>
    <row r="188">
      <c r="A188" t="inlineStr">
        <is>
          <t>I Had a Nice ...</t>
        </is>
      </c>
      <c r="B188" t="inlineStr">
        <is>
          <t>£57.36</t>
        </is>
      </c>
      <c r="C188">
        <f>HYPERLINK("https://books.toscrape.com/catalogue/i-had-a-nice-time-and-other-lies-how-to-find-love-sht-like-that_814/index.html","Open Link")</f>
        <v/>
      </c>
    </row>
    <row r="189">
      <c r="A189" t="inlineStr">
        <is>
          <t>Hollow City (Miss Peregrine’s ...</t>
        </is>
      </c>
      <c r="B189" t="inlineStr">
        <is>
          <t>£42.98</t>
        </is>
      </c>
      <c r="C189">
        <f>HYPERLINK("https://books.toscrape.com/catalogue/hollow-city-miss-peregrines-peculiar-children-2_813/index.html","Open Link")</f>
        <v/>
      </c>
    </row>
    <row r="190">
      <c r="A190" t="inlineStr">
        <is>
          <t>Grumbles</t>
        </is>
      </c>
      <c r="B190" t="inlineStr">
        <is>
          <t>£22.16</t>
        </is>
      </c>
      <c r="C190">
        <f>HYPERLINK("https://books.toscrape.com/catalogue/grumbles_812/index.html","Open Link")</f>
        <v/>
      </c>
    </row>
    <row r="191">
      <c r="A191" t="inlineStr">
        <is>
          <t>Full Moon over Noah’s ...</t>
        </is>
      </c>
      <c r="B191" t="inlineStr">
        <is>
          <t>£49.43</t>
        </is>
      </c>
      <c r="C191">
        <f>HYPERLINK("https://books.toscrape.com/catalogue/full-moon-over-noahs-ark-an-odyssey-to-mount-ararat-and-beyond_811/index.html","Open Link")</f>
        <v/>
      </c>
    </row>
    <row r="192">
      <c r="A192" t="inlineStr">
        <is>
          <t>Frostbite (Vampire Academy #2)</t>
        </is>
      </c>
      <c r="B192" t="inlineStr">
        <is>
          <t>£29.99</t>
        </is>
      </c>
      <c r="C192">
        <f>HYPERLINK("https://books.toscrape.com/catalogue/frostbite-vampire-academy-2_810/index.html","Open Link")</f>
        <v/>
      </c>
    </row>
    <row r="193">
      <c r="A193" t="inlineStr">
        <is>
          <t>Follow You Home</t>
        </is>
      </c>
      <c r="B193" t="inlineStr">
        <is>
          <t>£21.36</t>
        </is>
      </c>
      <c r="C193">
        <f>HYPERLINK("https://books.toscrape.com/catalogue/follow-you-home_809/index.html","Open Link")</f>
        <v/>
      </c>
    </row>
    <row r="194">
      <c r="A194" t="inlineStr">
        <is>
          <t>First Steps for New ...</t>
        </is>
      </c>
      <c r="B194" t="inlineStr">
        <is>
          <t>£29.00</t>
        </is>
      </c>
      <c r="C194">
        <f>HYPERLINK("https://books.toscrape.com/catalogue/first-steps-for-new-christians-print-edition_808/index.html","Open Link")</f>
        <v/>
      </c>
    </row>
    <row r="195">
      <c r="A195" t="inlineStr">
        <is>
          <t>Finders Keepers (Bill Hodges ...</t>
        </is>
      </c>
      <c r="B195" t="inlineStr">
        <is>
          <t>£53.53</t>
        </is>
      </c>
      <c r="C195">
        <f>HYPERLINK("https://books.toscrape.com/catalogue/finders-keepers-bill-hodges-trilogy-2_807/index.html","Open Link")</f>
        <v/>
      </c>
    </row>
    <row r="196">
      <c r="A196" t="inlineStr">
        <is>
          <t>Fables, Vol. 1: Legends ...</t>
        </is>
      </c>
      <c r="B196" t="inlineStr">
        <is>
          <t>£41.62</t>
        </is>
      </c>
      <c r="C196">
        <f>HYPERLINK("https://books.toscrape.com/catalogue/fables-vol-1-legends-in-exile-fables-1_806/index.html","Open Link")</f>
        <v/>
      </c>
    </row>
    <row r="197">
      <c r="A197" t="inlineStr">
        <is>
          <t>Eureka Trivia 6.0</t>
        </is>
      </c>
      <c r="B197" t="inlineStr">
        <is>
          <t>£54.59</t>
        </is>
      </c>
      <c r="C197">
        <f>HYPERLINK("https://books.toscrape.com/catalogue/eureka-trivia-60_805/index.html","Open Link")</f>
        <v/>
      </c>
    </row>
    <row r="198">
      <c r="A198" t="inlineStr">
        <is>
          <t>Drive: The Surprising Truth ...</t>
        </is>
      </c>
      <c r="B198" t="inlineStr">
        <is>
          <t>£34.95</t>
        </is>
      </c>
      <c r="C198">
        <f>HYPERLINK("https://books.toscrape.com/catalogue/drive-the-surprising-truth-about-what-motivates-us_804/index.html","Open Link")</f>
        <v/>
      </c>
    </row>
    <row r="199">
      <c r="A199" t="inlineStr">
        <is>
          <t>Done Rubbed Out (Reightman ...</t>
        </is>
      </c>
      <c r="B199" t="inlineStr">
        <is>
          <t>£37.72</t>
        </is>
      </c>
      <c r="C199">
        <f>HYPERLINK("https://books.toscrape.com/catalogue/done-rubbed-out-reightman-bailey-1_803/index.html","Open Link")</f>
        <v/>
      </c>
    </row>
    <row r="200">
      <c r="A200" t="inlineStr">
        <is>
          <t>Doing It Over (Most ...</t>
        </is>
      </c>
      <c r="B200" t="inlineStr">
        <is>
          <t>£35.61</t>
        </is>
      </c>
      <c r="C200">
        <f>HYPERLINK("https://books.toscrape.com/catalogue/doing-it-over-most-likely-to-1_802/index.html","Open Link")</f>
        <v/>
      </c>
    </row>
    <row r="201">
      <c r="A201" t="inlineStr">
        <is>
          <t>Deliciously Ella Every Day: ...</t>
        </is>
      </c>
      <c r="B201" t="inlineStr">
        <is>
          <t>£42.16</t>
        </is>
      </c>
      <c r="C201">
        <f>HYPERLINK("https://books.toscrape.com/catalogue/deliciously-ella-every-day-quick-and-easy-recipes-for-gluten-free-snacks-packed-lunches-and-simple-meals_801/index.html","Open Link")</f>
        <v/>
      </c>
    </row>
    <row r="202">
      <c r="A202" t="inlineStr">
        <is>
          <t>Dark Notes</t>
        </is>
      </c>
      <c r="B202" t="inlineStr">
        <is>
          <t>£19.19</t>
        </is>
      </c>
      <c r="C202">
        <f>HYPERLINK("https://books.toscrape.com/catalogue/dark-notes_800/index.html","Open Link")</f>
        <v/>
      </c>
    </row>
    <row r="203">
      <c r="A203" t="inlineStr">
        <is>
          <t>Daring Greatly: How the ...</t>
        </is>
      </c>
      <c r="B203" t="inlineStr">
        <is>
          <t>£19.43</t>
        </is>
      </c>
      <c r="C203">
        <f>HYPERLINK("https://books.toscrape.com/catalogue/daring-greatly-how-the-courage-to-be-vulnerable-transforms-the-way-we-live-love-parent-and-lead_799/index.html","Open Link")</f>
        <v/>
      </c>
    </row>
    <row r="204">
      <c r="A204" t="inlineStr">
        <is>
          <t>Close to You</t>
        </is>
      </c>
      <c r="B204" t="inlineStr">
        <is>
          <t>£49.46</t>
        </is>
      </c>
      <c r="C204">
        <f>HYPERLINK("https://books.toscrape.com/catalogue/close-to-you_798/index.html","Open Link")</f>
        <v/>
      </c>
    </row>
    <row r="205">
      <c r="A205" t="inlineStr">
        <is>
          <t>Chasing Heaven: What Dying ...</t>
        </is>
      </c>
      <c r="B205" t="inlineStr">
        <is>
          <t>£37.80</t>
        </is>
      </c>
      <c r="C205">
        <f>HYPERLINK("https://books.toscrape.com/catalogue/chasing-heaven-what-dying-taught-me-about-living_797/index.html","Open Link")</f>
        <v/>
      </c>
    </row>
    <row r="206">
      <c r="A206" t="inlineStr">
        <is>
          <t>Big Magic: Creative Living ...</t>
        </is>
      </c>
      <c r="B206" t="inlineStr">
        <is>
          <t>£30.80</t>
        </is>
      </c>
      <c r="C206">
        <f>HYPERLINK("https://books.toscrape.com/catalogue/big-magic-creative-living-beyond-fear_796/index.html","Open Link")</f>
        <v/>
      </c>
    </row>
    <row r="207">
      <c r="A207" t="inlineStr">
        <is>
          <t>Becoming Wise: An Inquiry ...</t>
        </is>
      </c>
      <c r="B207" t="inlineStr">
        <is>
          <t>£27.43</t>
        </is>
      </c>
      <c r="C207">
        <f>HYPERLINK("https://books.toscrape.com/catalogue/becoming-wise-an-inquiry-into-the-mystery-and-art-of-living_795/index.html","Open Link")</f>
        <v/>
      </c>
    </row>
    <row r="208">
      <c r="A208" t="inlineStr">
        <is>
          <t>Beauty Restored (Riley Family ...</t>
        </is>
      </c>
      <c r="B208" t="inlineStr">
        <is>
          <t>£11.11</t>
        </is>
      </c>
      <c r="C208">
        <f>HYPERLINK("https://books.toscrape.com/catalogue/beauty-restored-riley-family-legacy-novellas-3_794/index.html","Open Link")</f>
        <v/>
      </c>
    </row>
    <row r="209">
      <c r="A209" t="inlineStr">
        <is>
          <t>Batman: The Long Halloween ...</t>
        </is>
      </c>
      <c r="B209" t="inlineStr">
        <is>
          <t>£36.50</t>
        </is>
      </c>
      <c r="C209">
        <f>HYPERLINK("https://books.toscrape.com/catalogue/batman-the-long-halloween-batman_793/index.html","Open Link")</f>
        <v/>
      </c>
    </row>
    <row r="210">
      <c r="A210" t="inlineStr">
        <is>
          <t>Batman: The Dark Knight ...</t>
        </is>
      </c>
      <c r="B210" t="inlineStr">
        <is>
          <t>£15.38</t>
        </is>
      </c>
      <c r="C210">
        <f>HYPERLINK("https://books.toscrape.com/catalogue/batman-the-dark-knight-returns-batman_792/index.html","Open Link")</f>
        <v/>
      </c>
    </row>
    <row r="211">
      <c r="A211" t="inlineStr">
        <is>
          <t>Ayumi's Violin</t>
        </is>
      </c>
      <c r="B211" t="inlineStr">
        <is>
          <t>£15.48</t>
        </is>
      </c>
      <c r="C211">
        <f>HYPERLINK("https://books.toscrape.com/catalogue/ayumis-violin_791/index.html","Open Link")</f>
        <v/>
      </c>
    </row>
    <row r="212">
      <c r="A212" t="inlineStr">
        <is>
          <t>Anonymous</t>
        </is>
      </c>
      <c r="B212" t="inlineStr">
        <is>
          <t>£46.82</t>
        </is>
      </c>
      <c r="C212">
        <f>HYPERLINK("https://books.toscrape.com/catalogue/anonymous_790/index.html","Open Link")</f>
        <v/>
      </c>
    </row>
    <row r="213">
      <c r="A213" t="inlineStr">
        <is>
          <t>Amy Meets the Saints ...</t>
        </is>
      </c>
      <c r="B213" t="inlineStr">
        <is>
          <t>£18.46</t>
        </is>
      </c>
      <c r="C213">
        <f>HYPERLINK("https://books.toscrape.com/catalogue/amy-meets-the-saints-and-sages_789/index.html","Open Link")</f>
        <v/>
      </c>
    </row>
    <row r="214">
      <c r="A214" t="inlineStr">
        <is>
          <t>Amid the Chaos</t>
        </is>
      </c>
      <c r="B214" t="inlineStr">
        <is>
          <t>£36.58</t>
        </is>
      </c>
      <c r="C214">
        <f>HYPERLINK("https://books.toscrape.com/catalogue/amid-the-chaos_788/index.html","Open Link")</f>
        <v/>
      </c>
    </row>
    <row r="215">
      <c r="A215" t="inlineStr">
        <is>
          <t>Amatus</t>
        </is>
      </c>
      <c r="B215" t="inlineStr">
        <is>
          <t>£50.54</t>
        </is>
      </c>
      <c r="C215">
        <f>HYPERLINK("https://books.toscrape.com/catalogue/amatus_787/index.html","Open Link")</f>
        <v/>
      </c>
    </row>
    <row r="216">
      <c r="A216" t="inlineStr">
        <is>
          <t>Agnostic: A Spirited Manifesto</t>
        </is>
      </c>
      <c r="B216" t="inlineStr">
        <is>
          <t>£12.51</t>
        </is>
      </c>
      <c r="C216">
        <f>HYPERLINK("https://books.toscrape.com/catalogue/agnostic-a-spirited-manifesto_786/index.html","Open Link")</f>
        <v/>
      </c>
    </row>
    <row r="217">
      <c r="A217" t="inlineStr">
        <is>
          <t>Zealot: The Life and ...</t>
        </is>
      </c>
      <c r="B217" t="inlineStr">
        <is>
          <t>£24.70</t>
        </is>
      </c>
      <c r="C217">
        <f>HYPERLINK("https://books.toscrape.com/catalogue/zealot-the-life-and-times-of-jesus-of-nazareth_785/index.html","Open Link")</f>
        <v/>
      </c>
    </row>
    <row r="218">
      <c r="A218" t="inlineStr">
        <is>
          <t>You (You #1)</t>
        </is>
      </c>
      <c r="B218" t="inlineStr">
        <is>
          <t>£43.61</t>
        </is>
      </c>
      <c r="C218">
        <f>HYPERLINK("https://books.toscrape.com/catalogue/you-you-1_784/index.html","Open Link")</f>
        <v/>
      </c>
    </row>
    <row r="219">
      <c r="A219" t="inlineStr">
        <is>
          <t>Wonder Woman: Earth One, ...</t>
        </is>
      </c>
      <c r="B219" t="inlineStr">
        <is>
          <t>£37.34</t>
        </is>
      </c>
      <c r="C219">
        <f>HYPERLINK("https://books.toscrape.com/catalogue/wonder-woman-earth-one-volume-one-wonder-woman-earth-one-1_783/index.html","Open Link")</f>
        <v/>
      </c>
    </row>
    <row r="220">
      <c r="A220" t="inlineStr">
        <is>
          <t>Wild Swans</t>
        </is>
      </c>
      <c r="B220" t="inlineStr">
        <is>
          <t>£14.36</t>
        </is>
      </c>
      <c r="C220">
        <f>HYPERLINK("https://books.toscrape.com/catalogue/wild-swans_782/index.html","Open Link")</f>
        <v/>
      </c>
    </row>
    <row r="221">
      <c r="A221" t="inlineStr">
        <is>
          <t>Why the Right Went ...</t>
        </is>
      </c>
      <c r="B221" t="inlineStr">
        <is>
          <t>£52.65</t>
        </is>
      </c>
      <c r="C221">
        <f>HYPERLINK("https://books.toscrape.com/catalogue/why-the-right-went-wrong-conservatism-from-goldwater-to-the-tea-party-and-beyond_781/index.html","Open Link")</f>
        <v/>
      </c>
    </row>
    <row r="222">
      <c r="A222" t="inlineStr">
        <is>
          <t>Whole Lotta Creativity Going ...</t>
        </is>
      </c>
      <c r="B222" t="inlineStr">
        <is>
          <t>£38.20</t>
        </is>
      </c>
      <c r="C222">
        <f>HYPERLINK("https://books.toscrape.com/catalogue/whole-lotta-creativity-going-on-60-fun-and-unusual-exercises-to-awaken-and-strengthen-your-creativity_780/index.html","Open Link")</f>
        <v/>
      </c>
    </row>
    <row r="223">
      <c r="A223" t="inlineStr">
        <is>
          <t>What's It Like in ...</t>
        </is>
      </c>
      <c r="B223" t="inlineStr">
        <is>
          <t>£19.60</t>
        </is>
      </c>
      <c r="C223">
        <f>HYPERLINK("https://books.toscrape.com/catalogue/whats-it-like-in-space-stories-from-astronauts-whove-been-there_779/index.html","Open Link")</f>
        <v/>
      </c>
    </row>
    <row r="224">
      <c r="A224" t="inlineStr">
        <is>
          <t>We Are Robin, Vol. ...</t>
        </is>
      </c>
      <c r="B224" t="inlineStr">
        <is>
          <t>£53.90</t>
        </is>
      </c>
      <c r="C224">
        <f>HYPERLINK("https://books.toscrape.com/catalogue/we-are-robin-vol-1-the-vigilante-business-we-are-robin-1_778/index.html","Open Link")</f>
        <v/>
      </c>
    </row>
    <row r="225">
      <c r="A225" t="inlineStr">
        <is>
          <t>Walt Disney's Alice in ...</t>
        </is>
      </c>
      <c r="B225" t="inlineStr">
        <is>
          <t>£12.96</t>
        </is>
      </c>
      <c r="C225">
        <f>HYPERLINK("https://books.toscrape.com/catalogue/walt-disneys-alice-in-wonderland_777/index.html","Open Link")</f>
        <v/>
      </c>
    </row>
    <row r="226">
      <c r="A226" t="inlineStr">
        <is>
          <t>V for Vendetta (V ...</t>
        </is>
      </c>
      <c r="B226" t="inlineStr">
        <is>
          <t>£37.10</t>
        </is>
      </c>
      <c r="C226">
        <f>HYPERLINK("https://books.toscrape.com/catalogue/v-for-vendetta-v-for-vendetta-complete_776/index.html","Open Link")</f>
        <v/>
      </c>
    </row>
    <row r="227">
      <c r="A227" t="inlineStr">
        <is>
          <t>Until Friday Night (The ...</t>
        </is>
      </c>
      <c r="B227" t="inlineStr">
        <is>
          <t>£46.31</t>
        </is>
      </c>
      <c r="C227">
        <f>HYPERLINK("https://books.toscrape.com/catalogue/until-friday-night-the-field-party-1_775/index.html","Open Link")</f>
        <v/>
      </c>
    </row>
    <row r="228">
      <c r="A228" t="inlineStr">
        <is>
          <t>Unbroken: A World War ...</t>
        </is>
      </c>
      <c r="B228" t="inlineStr">
        <is>
          <t>£45.95</t>
        </is>
      </c>
      <c r="C228">
        <f>HYPERLINK("https://books.toscrape.com/catalogue/unbroken-a-world-war-ii-story-of-survival-resilience-and-redemption_774/index.html","Open Link")</f>
        <v/>
      </c>
    </row>
    <row r="229">
      <c r="A229" t="inlineStr">
        <is>
          <t>Twenty Yawns</t>
        </is>
      </c>
      <c r="B229" t="inlineStr">
        <is>
          <t>£22.08</t>
        </is>
      </c>
      <c r="C229">
        <f>HYPERLINK("https://books.toscrape.com/catalogue/twenty-yawns_773/index.html","Open Link")</f>
        <v/>
      </c>
    </row>
    <row r="230">
      <c r="A230" t="inlineStr">
        <is>
          <t>Through the Woods</t>
        </is>
      </c>
      <c r="B230" t="inlineStr">
        <is>
          <t>£25.38</t>
        </is>
      </c>
      <c r="C230">
        <f>HYPERLINK("https://books.toscrape.com/catalogue/through-the-woods_772/index.html","Open Link")</f>
        <v/>
      </c>
    </row>
    <row r="231">
      <c r="A231" t="inlineStr">
        <is>
          <t>This Is Where It ...</t>
        </is>
      </c>
      <c r="B231" t="inlineStr">
        <is>
          <t>£27.12</t>
        </is>
      </c>
      <c r="C231">
        <f>HYPERLINK("https://books.toscrape.com/catalogue/this-is-where-it-ends_771/index.html","Open Link")</f>
        <v/>
      </c>
    </row>
    <row r="232">
      <c r="A232" t="inlineStr">
        <is>
          <t>The Year of Magical ...</t>
        </is>
      </c>
      <c r="B232" t="inlineStr">
        <is>
          <t>£43.04</t>
        </is>
      </c>
      <c r="C232">
        <f>HYPERLINK("https://books.toscrape.com/catalogue/the-year-of-magical-thinking_770/index.html","Open Link")</f>
        <v/>
      </c>
    </row>
    <row r="233">
      <c r="A233" t="inlineStr">
        <is>
          <t>The Wright Brothers</t>
        </is>
      </c>
      <c r="B233" t="inlineStr">
        <is>
          <t>£56.80</t>
        </is>
      </c>
      <c r="C233">
        <f>HYPERLINK("https://books.toscrape.com/catalogue/the-wright-brothers_769/index.html","Open Link")</f>
        <v/>
      </c>
    </row>
    <row r="234">
      <c r="A234" t="inlineStr">
        <is>
          <t>The White Queen (The ...</t>
        </is>
      </c>
      <c r="B234" t="inlineStr">
        <is>
          <t>£25.91</t>
        </is>
      </c>
      <c r="C234">
        <f>HYPERLINK("https://books.toscrape.com/catalogue/the-white-queen-the-cousins-war-1_768/index.html","Open Link")</f>
        <v/>
      </c>
    </row>
    <row r="235">
      <c r="A235" t="inlineStr">
        <is>
          <t>The Wedding Pact (The ...</t>
        </is>
      </c>
      <c r="B235" t="inlineStr">
        <is>
          <t>£32.61</t>
        </is>
      </c>
      <c r="C235">
        <f>HYPERLINK("https://books.toscrape.com/catalogue/the-wedding-pact-the-omalleys-2_767/index.html","Open Link")</f>
        <v/>
      </c>
    </row>
    <row r="236">
      <c r="A236" t="inlineStr">
        <is>
          <t>The Time Keeper</t>
        </is>
      </c>
      <c r="B236" t="inlineStr">
        <is>
          <t>£27.88</t>
        </is>
      </c>
      <c r="C236">
        <f>HYPERLINK("https://books.toscrape.com/catalogue/the-time-keeper_766/index.html","Open Link")</f>
        <v/>
      </c>
    </row>
    <row r="237">
      <c r="A237" t="inlineStr">
        <is>
          <t>The Testament of Mary</t>
        </is>
      </c>
      <c r="B237" t="inlineStr">
        <is>
          <t>£52.67</t>
        </is>
      </c>
      <c r="C237">
        <f>HYPERLINK("https://books.toscrape.com/catalogue/the-testament-of-mary_765/index.html","Open Link")</f>
        <v/>
      </c>
    </row>
    <row r="238">
      <c r="A238" t="inlineStr">
        <is>
          <t>The Star-Touched Queen</t>
        </is>
      </c>
      <c r="B238" t="inlineStr">
        <is>
          <t>£46.02</t>
        </is>
      </c>
      <c r="C238">
        <f>HYPERLINK("https://books.toscrape.com/catalogue/the-star-touched-queen_764/index.html","Open Link")</f>
        <v/>
      </c>
    </row>
    <row r="239">
      <c r="A239" t="inlineStr">
        <is>
          <t>The Songs of the ...</t>
        </is>
      </c>
      <c r="B239" t="inlineStr">
        <is>
          <t>£44.48</t>
        </is>
      </c>
      <c r="C239">
        <f>HYPERLINK("https://books.toscrape.com/catalogue/the-songs-of-the-gods_763/index.html","Open Link")</f>
        <v/>
      </c>
    </row>
    <row r="240">
      <c r="A240" t="inlineStr">
        <is>
          <t>The Song of Achilles</t>
        </is>
      </c>
      <c r="B240" t="inlineStr">
        <is>
          <t>£37.40</t>
        </is>
      </c>
      <c r="C240">
        <f>HYPERLINK("https://books.toscrape.com/catalogue/the-song-of-achilles_762/index.html","Open Link")</f>
        <v/>
      </c>
    </row>
    <row r="241">
      <c r="A241" t="inlineStr">
        <is>
          <t>The Rosie Project (Don ...</t>
        </is>
      </c>
      <c r="B241" t="inlineStr">
        <is>
          <t>£54.04</t>
        </is>
      </c>
      <c r="C241">
        <f>HYPERLINK("https://books.toscrape.com/catalogue/the-rosie-project-don-tillman-1_761/index.html","Open Link")</f>
        <v/>
      </c>
    </row>
    <row r="242">
      <c r="A242" t="inlineStr">
        <is>
          <t>The Power of Habit: ...</t>
        </is>
      </c>
      <c r="B242" t="inlineStr">
        <is>
          <t>£16.88</t>
        </is>
      </c>
      <c r="C242">
        <f>HYPERLINK("https://books.toscrape.com/catalogue/the-power-of-habit-why-we-do-what-we-do-in-life-and-business_760/index.html","Open Link")</f>
        <v/>
      </c>
    </row>
    <row r="243">
      <c r="A243" t="inlineStr">
        <is>
          <t>The Marriage of Opposites</t>
        </is>
      </c>
      <c r="B243" t="inlineStr">
        <is>
          <t>£28.08</t>
        </is>
      </c>
      <c r="C243">
        <f>HYPERLINK("https://books.toscrape.com/catalogue/the-marriage-of-opposites_759/index.html","Open Link")</f>
        <v/>
      </c>
    </row>
    <row r="244">
      <c r="A244" t="inlineStr">
        <is>
          <t>The Lucifer Effect: Understanding ...</t>
        </is>
      </c>
      <c r="B244" t="inlineStr">
        <is>
          <t>£10.40</t>
        </is>
      </c>
      <c r="C244">
        <f>HYPERLINK("https://books.toscrape.com/catalogue/the-lucifer-effect-understanding-how-good-people-turn-evil_758/index.html","Open Link")</f>
        <v/>
      </c>
    </row>
    <row r="245">
      <c r="A245" t="inlineStr">
        <is>
          <t>The Long Haul (Diary ...</t>
        </is>
      </c>
      <c r="B245" t="inlineStr">
        <is>
          <t>£44.07</t>
        </is>
      </c>
      <c r="C245">
        <f>HYPERLINK("https://books.toscrape.com/catalogue/the-long-haul-diary-of-a-wimpy-kid-9_757/index.html","Open Link")</f>
        <v/>
      </c>
    </row>
    <row r="246">
      <c r="A246" t="inlineStr">
        <is>
          <t>The Loney</t>
        </is>
      </c>
      <c r="B246" t="inlineStr">
        <is>
          <t>£23.40</t>
        </is>
      </c>
      <c r="C246">
        <f>HYPERLINK("https://books.toscrape.com/catalogue/the-loney_756/index.html","Open Link")</f>
        <v/>
      </c>
    </row>
    <row r="247">
      <c r="A247" t="inlineStr">
        <is>
          <t>The Literature Book (Big ...</t>
        </is>
      </c>
      <c r="B247" t="inlineStr">
        <is>
          <t>£17.43</t>
        </is>
      </c>
      <c r="C247">
        <f>HYPERLINK("https://books.toscrape.com/catalogue/the-literature-book-big-ideas-simply-explained_755/index.html","Open Link")</f>
        <v/>
      </c>
    </row>
    <row r="248">
      <c r="A248" t="inlineStr">
        <is>
          <t>The Last Mile (Amos ...</t>
        </is>
      </c>
      <c r="B248" t="inlineStr">
        <is>
          <t>£54.21</t>
        </is>
      </c>
      <c r="C248">
        <f>HYPERLINK("https://books.toscrape.com/catalogue/the-last-mile-amos-decker-2_754/index.html","Open Link")</f>
        <v/>
      </c>
    </row>
    <row r="249">
      <c r="A249" t="inlineStr">
        <is>
          <t>The Immortal Life of ...</t>
        </is>
      </c>
      <c r="B249" t="inlineStr">
        <is>
          <t>£40.67</t>
        </is>
      </c>
      <c r="C249">
        <f>HYPERLINK("https://books.toscrape.com/catalogue/the-immortal-life-of-henrietta-lacks_753/index.html","Open Link")</f>
        <v/>
      </c>
    </row>
    <row r="250">
      <c r="A250" t="inlineStr">
        <is>
          <t>The Hidden Oracle (The ...</t>
        </is>
      </c>
      <c r="B250" t="inlineStr">
        <is>
          <t>£52.26</t>
        </is>
      </c>
      <c r="C250">
        <f>HYPERLINK("https://books.toscrape.com/catalogue/the-hidden-oracle-the-trials-of-apollo-1_752/index.html","Open Link")</f>
        <v/>
      </c>
    </row>
    <row r="251">
      <c r="A251" t="inlineStr">
        <is>
          <t>The Help Yourself Cookbook ...</t>
        </is>
      </c>
      <c r="B251" t="inlineStr">
        <is>
          <t>£28.77</t>
        </is>
      </c>
      <c r="C251">
        <f>HYPERLINK("https://books.toscrape.com/catalogue/the-help-yourself-cookbook-for-kids-60-easy-plant-based-recipes-kids-can-make-to-stay-healthy-and-save-the-earth_751/index.html","Open Link")</f>
        <v/>
      </c>
    </row>
    <row r="252">
      <c r="A252" t="inlineStr">
        <is>
          <t>The Guilty (Will Robie ...</t>
        </is>
      </c>
      <c r="B252" t="inlineStr">
        <is>
          <t>£13.82</t>
        </is>
      </c>
      <c r="C252">
        <f>HYPERLINK("https://books.toscrape.com/catalogue/the-guilty-will-robie-4_750/index.html","Open Link")</f>
        <v/>
      </c>
    </row>
    <row r="253">
      <c r="A253" t="inlineStr">
        <is>
          <t>The First Hostage (J.B. ...</t>
        </is>
      </c>
      <c r="B253" t="inlineStr">
        <is>
          <t>£25.85</t>
        </is>
      </c>
      <c r="C253">
        <f>HYPERLINK("https://books.toscrape.com/catalogue/the-first-hostage-jb-collins-2_749/index.html","Open Link")</f>
        <v/>
      </c>
    </row>
    <row r="254">
      <c r="A254" t="inlineStr">
        <is>
          <t>The Dovekeepers</t>
        </is>
      </c>
      <c r="B254" t="inlineStr">
        <is>
          <t>£48.78</t>
        </is>
      </c>
      <c r="C254">
        <f>HYPERLINK("https://books.toscrape.com/catalogue/the-dovekeepers_748/index.html","Open Link")</f>
        <v/>
      </c>
    </row>
    <row r="255">
      <c r="A255" t="inlineStr">
        <is>
          <t>The Darkest Lie</t>
        </is>
      </c>
      <c r="B255" t="inlineStr">
        <is>
          <t>£35.35</t>
        </is>
      </c>
      <c r="C255">
        <f>HYPERLINK("https://books.toscrape.com/catalogue/the-darkest-lie_747/index.html","Open Link")</f>
        <v/>
      </c>
    </row>
    <row r="256">
      <c r="A256" t="inlineStr">
        <is>
          <t>The Bane Chronicles (The ...</t>
        </is>
      </c>
      <c r="B256" t="inlineStr">
        <is>
          <t>£44.73</t>
        </is>
      </c>
      <c r="C256">
        <f>HYPERLINK("https://books.toscrape.com/catalogue/the-bane-chronicles-the-bane-chronicles-1-11_746/index.html","Open Link")</f>
        <v/>
      </c>
    </row>
    <row r="257">
      <c r="A257" t="inlineStr">
        <is>
          <t>The Bad-Ass Librarians of ...</t>
        </is>
      </c>
      <c r="B257" t="inlineStr">
        <is>
          <t>£15.77</t>
        </is>
      </c>
      <c r="C257">
        <f>HYPERLINK("https://books.toscrape.com/catalogue/the-bad-ass-librarians-of-timbuktu-and-their-race-to-save-the-worlds-most-precious-manuscripts_745/index.html","Open Link")</f>
        <v/>
      </c>
    </row>
    <row r="258">
      <c r="A258" t="inlineStr">
        <is>
          <t>The 14th Colony (Cotton ...</t>
        </is>
      </c>
      <c r="B258" t="inlineStr">
        <is>
          <t>£39.24</t>
        </is>
      </c>
      <c r="C258">
        <f>HYPERLINK("https://books.toscrape.com/catalogue/the-14th-colony-cotton-malone-11_744/index.html","Open Link")</f>
        <v/>
      </c>
    </row>
    <row r="259">
      <c r="A259" t="inlineStr">
        <is>
          <t>That Darkness (Gardiner and ...</t>
        </is>
      </c>
      <c r="B259" t="inlineStr">
        <is>
          <t>£13.92</t>
        </is>
      </c>
      <c r="C259">
        <f>HYPERLINK("https://books.toscrape.com/catalogue/that-darkness-gardiner-and-renner-1_743/index.html","Open Link")</f>
        <v/>
      </c>
    </row>
    <row r="260">
      <c r="A260" t="inlineStr">
        <is>
          <t>Tastes Like Fear (DI ...</t>
        </is>
      </c>
      <c r="B260" t="inlineStr">
        <is>
          <t>£10.69</t>
        </is>
      </c>
      <c r="C260">
        <f>HYPERLINK("https://books.toscrape.com/catalogue/tastes-like-fear-di-marnie-rome-3_742/index.html","Open Link")</f>
        <v/>
      </c>
    </row>
    <row r="261">
      <c r="A261" t="inlineStr">
        <is>
          <t>Take Me with You</t>
        </is>
      </c>
      <c r="B261" t="inlineStr">
        <is>
          <t>£45.21</t>
        </is>
      </c>
      <c r="C261">
        <f>HYPERLINK("https://books.toscrape.com/catalogue/take-me-with-you_741/index.html","Open Link")</f>
        <v/>
      </c>
    </row>
    <row r="262">
      <c r="A262" t="inlineStr">
        <is>
          <t>Swell: A Year of ...</t>
        </is>
      </c>
      <c r="B262" t="inlineStr">
        <is>
          <t>£45.58</t>
        </is>
      </c>
      <c r="C262">
        <f>HYPERLINK("https://books.toscrape.com/catalogue/swell-a-year-of-waves_740/index.html","Open Link")</f>
        <v/>
      </c>
    </row>
    <row r="263">
      <c r="A263" t="inlineStr">
        <is>
          <t>Superman Vol. 1: Before ...</t>
        </is>
      </c>
      <c r="B263" t="inlineStr">
        <is>
          <t>£11.89</t>
        </is>
      </c>
      <c r="C263">
        <f>HYPERLINK("https://books.toscrape.com/catalogue/superman-vol-1-before-truth-superman-by-gene-luen-yang-1_739/index.html","Open Link")</f>
        <v/>
      </c>
    </row>
    <row r="264">
      <c r="A264" t="inlineStr">
        <is>
          <t>Still Life with Bread ...</t>
        </is>
      </c>
      <c r="B264" t="inlineStr">
        <is>
          <t>£26.41</t>
        </is>
      </c>
      <c r="C264">
        <f>HYPERLINK("https://books.toscrape.com/catalogue/still-life-with-bread-crumbs_738/index.html","Open Link")</f>
        <v/>
      </c>
    </row>
    <row r="265">
      <c r="A265" t="inlineStr">
        <is>
          <t>Steve Jobs</t>
        </is>
      </c>
      <c r="B265" t="inlineStr">
        <is>
          <t>£39.50</t>
        </is>
      </c>
      <c r="C265">
        <f>HYPERLINK("https://books.toscrape.com/catalogue/steve-jobs_737/index.html","Open Link")</f>
        <v/>
      </c>
    </row>
    <row r="266">
      <c r="A266" t="inlineStr">
        <is>
          <t>Sorting the Beef from ...</t>
        </is>
      </c>
      <c r="B266" t="inlineStr">
        <is>
          <t>£44.74</t>
        </is>
      </c>
      <c r="C266">
        <f>HYPERLINK("https://books.toscrape.com/catalogue/sorting-the-beef-from-the-bull-the-science-of-food-fraud-forensics_736/index.html","Open Link")</f>
        <v/>
      </c>
    </row>
    <row r="267">
      <c r="A267" t="inlineStr">
        <is>
          <t>Someone Like You (The ...</t>
        </is>
      </c>
      <c r="B267" t="inlineStr">
        <is>
          <t>£52.79</t>
        </is>
      </c>
      <c r="C267">
        <f>HYPERLINK("https://books.toscrape.com/catalogue/someone-like-you-the-harrisons-2_735/index.html","Open Link")</f>
        <v/>
      </c>
    </row>
    <row r="268">
      <c r="A268" t="inlineStr">
        <is>
          <t>So Cute It Hurts!!, ...</t>
        </is>
      </c>
      <c r="B268" t="inlineStr">
        <is>
          <t>£35.43</t>
        </is>
      </c>
      <c r="C268">
        <f>HYPERLINK("https://books.toscrape.com/catalogue/so-cute-it-hurts-vol-6-so-cute-it-hurts-6_734/index.html","Open Link")</f>
        <v/>
      </c>
    </row>
    <row r="269">
      <c r="A269" t="inlineStr">
        <is>
          <t>Shtum</t>
        </is>
      </c>
      <c r="B269" t="inlineStr">
        <is>
          <t>£55.84</t>
        </is>
      </c>
      <c r="C269">
        <f>HYPERLINK("https://books.toscrape.com/catalogue/shtum_733/index.html","Open Link")</f>
        <v/>
      </c>
    </row>
    <row r="270">
      <c r="A270" t="inlineStr">
        <is>
          <t>See America: A Celebration ...</t>
        </is>
      </c>
      <c r="B270" t="inlineStr">
        <is>
          <t>£48.87</t>
        </is>
      </c>
      <c r="C270">
        <f>HYPERLINK("https://books.toscrape.com/catalogue/see-america-a-celebration-of-our-national-parks-treasured-sites_732/index.html","Open Link")</f>
        <v/>
      </c>
    </row>
    <row r="271">
      <c r="A271" t="inlineStr">
        <is>
          <t>salt.</t>
        </is>
      </c>
      <c r="B271" t="inlineStr">
        <is>
          <t>£46.78</t>
        </is>
      </c>
      <c r="C271">
        <f>HYPERLINK("https://books.toscrape.com/catalogue/salt_731/index.html","Open Link")</f>
        <v/>
      </c>
    </row>
    <row r="272">
      <c r="A272" t="inlineStr">
        <is>
          <t>Robin War</t>
        </is>
      </c>
      <c r="B272" t="inlineStr">
        <is>
          <t>£47.82</t>
        </is>
      </c>
      <c r="C272">
        <f>HYPERLINK("https://books.toscrape.com/catalogue/robin-war_730/index.html","Open Link")</f>
        <v/>
      </c>
    </row>
    <row r="273">
      <c r="A273" t="inlineStr">
        <is>
          <t>Red Hood/Arsenal, Vol. 1: ...</t>
        </is>
      </c>
      <c r="B273" t="inlineStr">
        <is>
          <t>£25.48</t>
        </is>
      </c>
      <c r="C273">
        <f>HYPERLINK("https://books.toscrape.com/catalogue/red-hoodarsenal-vol-1-open-for-business-red-hoodarsenal-1_729/index.html","Open Link")</f>
        <v/>
      </c>
    </row>
    <row r="274">
      <c r="A274" t="inlineStr">
        <is>
          <t>Rain Fish</t>
        </is>
      </c>
      <c r="B274" t="inlineStr">
        <is>
          <t>£23.57</t>
        </is>
      </c>
      <c r="C274">
        <f>HYPERLINK("https://books.toscrape.com/catalogue/rain-fish_728/index.html","Open Link")</f>
        <v/>
      </c>
    </row>
    <row r="275">
      <c r="A275" t="inlineStr">
        <is>
          <t>Quarter Life Poetry: Poems ...</t>
        </is>
      </c>
      <c r="B275" t="inlineStr">
        <is>
          <t>£50.89</t>
        </is>
      </c>
      <c r="C275">
        <f>HYPERLINK("https://books.toscrape.com/catalogue/quarter-life-poetry-poems-for-the-young-broke-and-hangry_727/index.html","Open Link")</f>
        <v/>
      </c>
    </row>
    <row r="276">
      <c r="A276" t="inlineStr">
        <is>
          <t>Pet Sematary</t>
        </is>
      </c>
      <c r="B276" t="inlineStr">
        <is>
          <t>£10.56</t>
        </is>
      </c>
      <c r="C276">
        <f>HYPERLINK("https://books.toscrape.com/catalogue/pet-sematary_726/index.html","Open Link")</f>
        <v/>
      </c>
    </row>
    <row r="277">
      <c r="A277" t="inlineStr">
        <is>
          <t>Overload: How to Unplug, ...</t>
        </is>
      </c>
      <c r="B277" t="inlineStr">
        <is>
          <t>£52.15</t>
        </is>
      </c>
      <c r="C277">
        <f>HYPERLINK("https://books.toscrape.com/catalogue/overload-how-to-unplug-unwind-and-unleash-yourself-from-the-pressure-of-stress_725/index.html","Open Link")</f>
        <v/>
      </c>
    </row>
    <row r="278">
      <c r="A278" t="inlineStr">
        <is>
          <t>Once Was a Time</t>
        </is>
      </c>
      <c r="B278" t="inlineStr">
        <is>
          <t>£18.28</t>
        </is>
      </c>
      <c r="C278">
        <f>HYPERLINK("https://books.toscrape.com/catalogue/once-was-a-time_724/index.html","Open Link")</f>
        <v/>
      </c>
    </row>
    <row r="279">
      <c r="A279" t="inlineStr">
        <is>
          <t>Old School (Diary of ...</t>
        </is>
      </c>
      <c r="B279" t="inlineStr">
        <is>
          <t>£11.83</t>
        </is>
      </c>
      <c r="C279">
        <f>HYPERLINK("https://books.toscrape.com/catalogue/old-school-diary-of-a-wimpy-kid-10_723/index.html","Open Link")</f>
        <v/>
      </c>
    </row>
    <row r="280">
      <c r="A280" t="inlineStr">
        <is>
          <t>No Dream Is Too ...</t>
        </is>
      </c>
      <c r="B280" t="inlineStr">
        <is>
          <t>£21.95</t>
        </is>
      </c>
      <c r="C280">
        <f>HYPERLINK("https://books.toscrape.com/catalogue/no-dream-is-too-high-life-lessons-from-a-man-who-walked-on-the-moon_722/index.html","Open Link")</f>
        <v/>
      </c>
    </row>
    <row r="281">
      <c r="A281" t="inlineStr">
        <is>
          <t>Naruto (3-in-1 Edition), Vol. ...</t>
        </is>
      </c>
      <c r="B281" t="inlineStr">
        <is>
          <t>£38.39</t>
        </is>
      </c>
      <c r="C281">
        <f>HYPERLINK("https://books.toscrape.com/catalogue/naruto-3-in-1-edition-vol-14-includes-vols-40-41-42-naruto-omnibus-14_721/index.html","Open Link")</f>
        <v/>
      </c>
    </row>
    <row r="282">
      <c r="A282" t="inlineStr">
        <is>
          <t>My Name Is Lucy ...</t>
        </is>
      </c>
      <c r="B282" t="inlineStr">
        <is>
          <t>£41.56</t>
        </is>
      </c>
      <c r="C282">
        <f>HYPERLINK("https://books.toscrape.com/catalogue/my-name-is-lucy-barton_720/index.html","Open Link")</f>
        <v/>
      </c>
    </row>
    <row r="283">
      <c r="A283" t="inlineStr">
        <is>
          <t>My Mrs. Brown</t>
        </is>
      </c>
      <c r="B283" t="inlineStr">
        <is>
          <t>£24.48</t>
        </is>
      </c>
      <c r="C283">
        <f>HYPERLINK("https://books.toscrape.com/catalogue/my-mrs-brown_719/index.html","Open Link")</f>
        <v/>
      </c>
    </row>
    <row r="284">
      <c r="A284" t="inlineStr">
        <is>
          <t>My Kind of Crazy</t>
        </is>
      </c>
      <c r="B284" t="inlineStr">
        <is>
          <t>£40.36</t>
        </is>
      </c>
      <c r="C284">
        <f>HYPERLINK("https://books.toscrape.com/catalogue/my-kind-of-crazy_718/index.html","Open Link")</f>
        <v/>
      </c>
    </row>
    <row r="285">
      <c r="A285" t="inlineStr">
        <is>
          <t>Mr. Mercedes (Bill Hodges ...</t>
        </is>
      </c>
      <c r="B285" t="inlineStr">
        <is>
          <t>£28.90</t>
        </is>
      </c>
      <c r="C285">
        <f>HYPERLINK("https://books.toscrape.com/catalogue/mr-mercedes-bill-hodges-trilogy-1_717/index.html","Open Link")</f>
        <v/>
      </c>
    </row>
    <row r="286">
      <c r="A286" t="inlineStr">
        <is>
          <t>More Than Music (Chasing ...</t>
        </is>
      </c>
      <c r="B286" t="inlineStr">
        <is>
          <t>£37.61</t>
        </is>
      </c>
      <c r="C286">
        <f>HYPERLINK("https://books.toscrape.com/catalogue/more-than-music-chasing-the-dream-1_716/index.html","Open Link")</f>
        <v/>
      </c>
    </row>
    <row r="287">
      <c r="A287" t="inlineStr">
        <is>
          <t>Made to Stick: Why ...</t>
        </is>
      </c>
      <c r="B287" t="inlineStr">
        <is>
          <t>£38.85</t>
        </is>
      </c>
      <c r="C287">
        <f>HYPERLINK("https://books.toscrape.com/catalogue/made-to-stick-why-some-ideas-survive-and-others-die_715/index.html","Open Link")</f>
        <v/>
      </c>
    </row>
    <row r="288">
      <c r="A288" t="inlineStr">
        <is>
          <t>Luis Paints the World</t>
        </is>
      </c>
      <c r="B288" t="inlineStr">
        <is>
          <t>£53.95</t>
        </is>
      </c>
      <c r="C288">
        <f>HYPERLINK("https://books.toscrape.com/catalogue/luis-paints-the-world_714/index.html","Open Link")</f>
        <v/>
      </c>
    </row>
    <row r="289">
      <c r="A289" t="inlineStr">
        <is>
          <t>Luckiest Girl Alive</t>
        </is>
      </c>
      <c r="B289" t="inlineStr">
        <is>
          <t>£49.83</t>
        </is>
      </c>
      <c r="C289">
        <f>HYPERLINK("https://books.toscrape.com/catalogue/luckiest-girl-alive_713/index.html","Open Link")</f>
        <v/>
      </c>
    </row>
    <row r="290">
      <c r="A290" t="inlineStr">
        <is>
          <t>Lowriders to the Center ...</t>
        </is>
      </c>
      <c r="B290" t="inlineStr">
        <is>
          <t>£51.51</t>
        </is>
      </c>
      <c r="C290">
        <f>HYPERLINK("https://books.toscrape.com/catalogue/lowriders-to-the-center-of-the-earth-lowriders-in-space-2_712/index.html","Open Link")</f>
        <v/>
      </c>
    </row>
    <row r="291">
      <c r="A291" t="inlineStr">
        <is>
          <t>Love Is a Mix ...</t>
        </is>
      </c>
      <c r="B291" t="inlineStr">
        <is>
          <t>£18.03</t>
        </is>
      </c>
      <c r="C291">
        <f>HYPERLINK("https://books.toscrape.com/catalogue/love-is-a-mix-tape-music-1_711/index.html","Open Link")</f>
        <v/>
      </c>
    </row>
    <row r="292">
      <c r="A292" t="inlineStr">
        <is>
          <t>Looking for Lovely: Collecting ...</t>
        </is>
      </c>
      <c r="B292" t="inlineStr">
        <is>
          <t>£29.14</t>
        </is>
      </c>
      <c r="C292">
        <f>HYPERLINK("https://books.toscrape.com/catalogue/looking-for-lovely-collecting-the-moments-that-matter_710/index.html","Open Link")</f>
        <v/>
      </c>
    </row>
    <row r="293">
      <c r="A293" t="inlineStr">
        <is>
          <t>Living Leadership by Insight: ...</t>
        </is>
      </c>
      <c r="B293" t="inlineStr">
        <is>
          <t>£46.91</t>
        </is>
      </c>
      <c r="C293">
        <f>HYPERLINK("https://books.toscrape.com/catalogue/living-leadership-by-insight-a-good-leader-achieves-a-great-leader-builds-monuments_709/index.html","Open Link")</f>
        <v/>
      </c>
    </row>
    <row r="294">
      <c r="A294" t="inlineStr">
        <is>
          <t>Let It Out: A ...</t>
        </is>
      </c>
      <c r="B294" t="inlineStr">
        <is>
          <t>£26.79</t>
        </is>
      </c>
      <c r="C294">
        <f>HYPERLINK("https://books.toscrape.com/catalogue/let-it-out-a-journey-through-journaling_708/index.html","Open Link")</f>
        <v/>
      </c>
    </row>
    <row r="295">
      <c r="A295" t="inlineStr">
        <is>
          <t>Lady Midnight (The Dark ...</t>
        </is>
      </c>
      <c r="B295" t="inlineStr">
        <is>
          <t>£16.28</t>
        </is>
      </c>
      <c r="C295">
        <f>HYPERLINK("https://books.toscrape.com/catalogue/lady-midnight-the-dark-artifices-1_707/index.html","Open Link")</f>
        <v/>
      </c>
    </row>
    <row r="296">
      <c r="A296" t="inlineStr">
        <is>
          <t>It's All Easy: Healthy, ...</t>
        </is>
      </c>
      <c r="B296" t="inlineStr">
        <is>
          <t>£19.55</t>
        </is>
      </c>
      <c r="C296">
        <f>HYPERLINK("https://books.toscrape.com/catalogue/its-all-easy-healthy-delicious-weeknight-meals-in-under-30-minutes_706/index.html","Open Link")</f>
        <v/>
      </c>
    </row>
    <row r="297">
      <c r="A297" t="inlineStr">
        <is>
          <t>Island of Dragons (Unwanteds ...</t>
        </is>
      </c>
      <c r="B297" t="inlineStr">
        <is>
          <t>£29.65</t>
        </is>
      </c>
      <c r="C297">
        <f>HYPERLINK("https://books.toscrape.com/catalogue/island-of-dragons-unwanteds-7_705/index.html","Open Link")</f>
        <v/>
      </c>
    </row>
    <row r="298">
      <c r="A298" t="inlineStr">
        <is>
          <t>I Know What I'm ...</t>
        </is>
      </c>
      <c r="B298" t="inlineStr">
        <is>
          <t>£25.98</t>
        </is>
      </c>
      <c r="C298">
        <f>HYPERLINK("https://books.toscrape.com/catalogue/i-know-what-im-doing-and-other-lies-i-tell-myself-dispatches-from-a-life-under-construction_704/index.html","Open Link")</f>
        <v/>
      </c>
    </row>
    <row r="299">
      <c r="A299" t="inlineStr">
        <is>
          <t>I Am Pilgrim (Pilgrim ...</t>
        </is>
      </c>
      <c r="B299" t="inlineStr">
        <is>
          <t>£10.60</t>
        </is>
      </c>
      <c r="C299">
        <f>HYPERLINK("https://books.toscrape.com/catalogue/i-am-pilgrim-pilgrim-1_703/index.html","Open Link")</f>
        <v/>
      </c>
    </row>
    <row r="300">
      <c r="A300" t="inlineStr">
        <is>
          <t>Hyperbole and a Half: ...</t>
        </is>
      </c>
      <c r="B300" t="inlineStr">
        <is>
          <t>£14.75</t>
        </is>
      </c>
      <c r="C300">
        <f>HYPERLINK("https://books.toscrape.com/catalogue/hyperbole-and-a-half-unfortunate-situations-flawed-coping-mechanisms-mayhem-and-other-things-that-happened_702/index.html","Open Link")</f>
        <v/>
      </c>
    </row>
    <row r="301">
      <c r="A301" t="inlineStr">
        <is>
          <t>Hush, Hush (Hush, Hush ...</t>
        </is>
      </c>
      <c r="B301" t="inlineStr">
        <is>
          <t>£47.02</t>
        </is>
      </c>
      <c r="C301">
        <f>HYPERLINK("https://books.toscrape.com/catalogue/hush-hush-hush-hush-1_701/index.html","Open Link")</f>
        <v/>
      </c>
    </row>
    <row r="302">
      <c r="A302" t="inlineStr">
        <is>
          <t>Hold Your Breath (Search ...</t>
        </is>
      </c>
      <c r="B302" t="inlineStr">
        <is>
          <t>£28.82</t>
        </is>
      </c>
      <c r="C302">
        <f>HYPERLINK("https://books.toscrape.com/catalogue/hold-your-breath-search-and-rescue-1_700/index.html","Open Link")</f>
        <v/>
      </c>
    </row>
    <row r="303">
      <c r="A303" t="inlineStr">
        <is>
          <t>Hamilton: The Revolution</t>
        </is>
      </c>
      <c r="B303" t="inlineStr">
        <is>
          <t>£58.79</t>
        </is>
      </c>
      <c r="C303">
        <f>HYPERLINK("https://books.toscrape.com/catalogue/hamilton-the-revolution_699/index.html","Open Link")</f>
        <v/>
      </c>
    </row>
    <row r="304">
      <c r="A304" t="inlineStr">
        <is>
          <t>Greek Mythic History</t>
        </is>
      </c>
      <c r="B304" t="inlineStr">
        <is>
          <t>£10.23</t>
        </is>
      </c>
      <c r="C304">
        <f>HYPERLINK("https://books.toscrape.com/catalogue/greek-mythic-history_698/index.html","Open Link")</f>
        <v/>
      </c>
    </row>
    <row r="305">
      <c r="A305" t="inlineStr">
        <is>
          <t>God: The Most Unpleasant ...</t>
        </is>
      </c>
      <c r="B305" t="inlineStr">
        <is>
          <t>£30.03</t>
        </is>
      </c>
      <c r="C305">
        <f>HYPERLINK("https://books.toscrape.com/catalogue/god-the-most-unpleasant-character-in-all-fiction_697/index.html","Open Link")</f>
        <v/>
      </c>
    </row>
    <row r="306">
      <c r="A306" t="inlineStr">
        <is>
          <t>Glory over Everything: Beyond ...</t>
        </is>
      </c>
      <c r="B306" t="inlineStr">
        <is>
          <t>£45.84</t>
        </is>
      </c>
      <c r="C306">
        <f>HYPERLINK("https://books.toscrape.com/catalogue/glory-over-everything-beyond-the-kitchen-house_696/index.html","Open Link")</f>
        <v/>
      </c>
    </row>
    <row r="307">
      <c r="A307" t="inlineStr">
        <is>
          <t>Feathers: Displays of Brilliant ...</t>
        </is>
      </c>
      <c r="B307" t="inlineStr">
        <is>
          <t>£49.05</t>
        </is>
      </c>
      <c r="C307">
        <f>HYPERLINK("https://books.toscrape.com/catalogue/feathers-displays-of-brilliant-plumage_695/index.html","Open Link")</f>
        <v/>
      </c>
    </row>
    <row r="308">
      <c r="A308" t="inlineStr">
        <is>
          <t>Far &amp; Away: Places ...</t>
        </is>
      </c>
      <c r="B308" t="inlineStr">
        <is>
          <t>£15.06</t>
        </is>
      </c>
      <c r="C308">
        <f>HYPERLINK("https://books.toscrape.com/catalogue/far-away-places-on-the-brink-of-change-seven-continents-twenty-five-years_694/index.html","Open Link")</f>
        <v/>
      </c>
    </row>
    <row r="309">
      <c r="A309" t="inlineStr">
        <is>
          <t>Every Last Word</t>
        </is>
      </c>
      <c r="B309" t="inlineStr">
        <is>
          <t>£46.47</t>
        </is>
      </c>
      <c r="C309">
        <f>HYPERLINK("https://books.toscrape.com/catalogue/every-last-word_693/index.html","Open Link")</f>
        <v/>
      </c>
    </row>
    <row r="310">
      <c r="A310" t="inlineStr">
        <is>
          <t>Eligible (The Austen Project ...</t>
        </is>
      </c>
      <c r="B310" t="inlineStr">
        <is>
          <t>£27.09</t>
        </is>
      </c>
      <c r="C310">
        <f>HYPERLINK("https://books.toscrape.com/catalogue/eligible-the-austen-project-4_692/index.html","Open Link")</f>
        <v/>
      </c>
    </row>
    <row r="311">
      <c r="A311" t="inlineStr">
        <is>
          <t>El Deafo</t>
        </is>
      </c>
      <c r="B311" t="inlineStr">
        <is>
          <t>£57.62</t>
        </is>
      </c>
      <c r="C311">
        <f>HYPERLINK("https://books.toscrape.com/catalogue/el-deafo_691/index.html","Open Link")</f>
        <v/>
      </c>
    </row>
    <row r="312">
      <c r="A312" t="inlineStr">
        <is>
          <t>Eight Hundred Grapes</t>
        </is>
      </c>
      <c r="B312" t="inlineStr">
        <is>
          <t>£14.39</t>
        </is>
      </c>
      <c r="C312">
        <f>HYPERLINK("https://books.toscrape.com/catalogue/eight-hundred-grapes_690/index.html","Open Link")</f>
        <v/>
      </c>
    </row>
    <row r="313">
      <c r="A313" t="inlineStr">
        <is>
          <t>Eaternity: More than 150 ...</t>
        </is>
      </c>
      <c r="B313" t="inlineStr">
        <is>
          <t>£51.75</t>
        </is>
      </c>
      <c r="C313">
        <f>HYPERLINK("https://books.toscrape.com/catalogue/eaternity-more-than-150-deliciously-easy-vegan-recipes-for-a-long-healthy-satisfied-joyful-life_689/index.html","Open Link")</f>
        <v/>
      </c>
    </row>
    <row r="314">
      <c r="A314" t="inlineStr">
        <is>
          <t>Eat Fat, Get Thin</t>
        </is>
      </c>
      <c r="B314" t="inlineStr">
        <is>
          <t>£54.07</t>
        </is>
      </c>
      <c r="C314">
        <f>HYPERLINK("https://books.toscrape.com/catalogue/eat-fat-get-thin_688/index.html","Open Link")</f>
        <v/>
      </c>
    </row>
    <row r="315">
      <c r="A315" t="inlineStr">
        <is>
          <t>Don't Get Caught</t>
        </is>
      </c>
      <c r="B315" t="inlineStr">
        <is>
          <t>£55.35</t>
        </is>
      </c>
      <c r="C315">
        <f>HYPERLINK("https://books.toscrape.com/catalogue/dont-get-caught_687/index.html","Open Link")</f>
        <v/>
      </c>
    </row>
    <row r="316">
      <c r="A316" t="inlineStr">
        <is>
          <t>Doctor Sleep (The Shining ...</t>
        </is>
      </c>
      <c r="B316" t="inlineStr">
        <is>
          <t>£40.12</t>
        </is>
      </c>
      <c r="C316">
        <f>HYPERLINK("https://books.toscrape.com/catalogue/doctor-sleep-the-shining-2_686/index.html","Open Link")</f>
        <v/>
      </c>
    </row>
    <row r="317">
      <c r="A317" t="inlineStr">
        <is>
          <t>Demigods &amp; Magicians: Percy ...</t>
        </is>
      </c>
      <c r="B317" t="inlineStr">
        <is>
          <t>£37.51</t>
        </is>
      </c>
      <c r="C317">
        <f>HYPERLINK("https://books.toscrape.com/catalogue/demigods-magicians-percy-and-annabeth-meet-the-kanes-percy-jackson-kane-chronicles-crossover-1-3_685/index.html","Open Link")</f>
        <v/>
      </c>
    </row>
    <row r="318">
      <c r="A318" t="inlineStr">
        <is>
          <t>Dear Mr. Knightley</t>
        </is>
      </c>
      <c r="B318" t="inlineStr">
        <is>
          <t>£11.21</t>
        </is>
      </c>
      <c r="C318">
        <f>HYPERLINK("https://books.toscrape.com/catalogue/dear-mr-knightley_684/index.html","Open Link")</f>
        <v/>
      </c>
    </row>
    <row r="319">
      <c r="A319" t="inlineStr">
        <is>
          <t>Daily Fantasy Sports</t>
        </is>
      </c>
      <c r="B319" t="inlineStr">
        <is>
          <t>£36.58</t>
        </is>
      </c>
      <c r="C319">
        <f>HYPERLINK("https://books.toscrape.com/catalogue/daily-fantasy-sports_683/index.html","Open Link")</f>
        <v/>
      </c>
    </row>
    <row r="320">
      <c r="A320" t="inlineStr">
        <is>
          <t>Crazy Love: Overwhelmed by ...</t>
        </is>
      </c>
      <c r="B320" t="inlineStr">
        <is>
          <t>£47.72</t>
        </is>
      </c>
      <c r="C320">
        <f>HYPERLINK("https://books.toscrape.com/catalogue/crazy-love-overwhelmed-by-a-relentless-god_682/index.html","Open Link")</f>
        <v/>
      </c>
    </row>
    <row r="321">
      <c r="A321" t="inlineStr">
        <is>
          <t>Cometh the Hour (The ...</t>
        </is>
      </c>
      <c r="B321" t="inlineStr">
        <is>
          <t>£25.01</t>
        </is>
      </c>
      <c r="C321">
        <f>HYPERLINK("https://books.toscrape.com/catalogue/cometh-the-hour-the-clifton-chronicles-6_681/index.html","Open Link")</f>
        <v/>
      </c>
    </row>
    <row r="322">
      <c r="A322" t="inlineStr">
        <is>
          <t>Code Name Verity (Code ...</t>
        </is>
      </c>
      <c r="B322" t="inlineStr">
        <is>
          <t>£22.13</t>
        </is>
      </c>
      <c r="C322">
        <f>HYPERLINK("https://books.toscrape.com/catalogue/code-name-verity-code-name-verity-1_680/index.html","Open Link")</f>
        <v/>
      </c>
    </row>
    <row r="323">
      <c r="A323" t="inlineStr">
        <is>
          <t>Clockwork Angel (The Infernal ...</t>
        </is>
      </c>
      <c r="B323" t="inlineStr">
        <is>
          <t>£44.14</t>
        </is>
      </c>
      <c r="C323">
        <f>HYPERLINK("https://books.toscrape.com/catalogue/clockwork-angel-the-infernal-devices-1_679/index.html","Open Link")</f>
        <v/>
      </c>
    </row>
    <row r="324">
      <c r="A324" t="inlineStr">
        <is>
          <t>City of Glass (The ...</t>
        </is>
      </c>
      <c r="B324" t="inlineStr">
        <is>
          <t>£56.02</t>
        </is>
      </c>
      <c r="C324">
        <f>HYPERLINK("https://books.toscrape.com/catalogue/city-of-glass-the-mortal-instruments-3_678/index.html","Open Link")</f>
        <v/>
      </c>
    </row>
    <row r="325">
      <c r="A325" t="inlineStr">
        <is>
          <t>City of Fallen Angels ...</t>
        </is>
      </c>
      <c r="B325" t="inlineStr">
        <is>
          <t>£11.23</t>
        </is>
      </c>
      <c r="C325">
        <f>HYPERLINK("https://books.toscrape.com/catalogue/city-of-fallen-angels-the-mortal-instruments-4_677/index.html","Open Link")</f>
        <v/>
      </c>
    </row>
    <row r="326">
      <c r="A326" t="inlineStr">
        <is>
          <t>City of Bones (The ...</t>
        </is>
      </c>
      <c r="B326" t="inlineStr">
        <is>
          <t>£43.28</t>
        </is>
      </c>
      <c r="C326">
        <f>HYPERLINK("https://books.toscrape.com/catalogue/city-of-bones-the-mortal-instruments-1_676/index.html","Open Link")</f>
        <v/>
      </c>
    </row>
    <row r="327">
      <c r="A327" t="inlineStr">
        <is>
          <t>City of Ashes (The ...</t>
        </is>
      </c>
      <c r="B327" t="inlineStr">
        <is>
          <t>£47.27</t>
        </is>
      </c>
      <c r="C327">
        <f>HYPERLINK("https://books.toscrape.com/catalogue/city-of-ashes-the-mortal-instruments-2_675/index.html","Open Link")</f>
        <v/>
      </c>
    </row>
    <row r="328">
      <c r="A328" t="inlineStr">
        <is>
          <t>Cell</t>
        </is>
      </c>
      <c r="B328" t="inlineStr">
        <is>
          <t>£20.29</t>
        </is>
      </c>
      <c r="C328">
        <f>HYPERLINK("https://books.toscrape.com/catalogue/cell_674/index.html","Open Link")</f>
        <v/>
      </c>
    </row>
    <row r="329">
      <c r="A329" t="inlineStr">
        <is>
          <t>Catching Jordan (Hundred Oaks)</t>
        </is>
      </c>
      <c r="B329" t="inlineStr">
        <is>
          <t>£50.83</t>
        </is>
      </c>
      <c r="C329">
        <f>HYPERLINK("https://books.toscrape.com/catalogue/catching-jordan-hundred-oaks_673/index.html","Open Link")</f>
        <v/>
      </c>
    </row>
    <row r="330">
      <c r="A330" t="inlineStr">
        <is>
          <t>Carry On, Warrior: Thoughts ...</t>
        </is>
      </c>
      <c r="B330" t="inlineStr">
        <is>
          <t>£31.85</t>
        </is>
      </c>
      <c r="C330">
        <f>HYPERLINK("https://books.toscrape.com/catalogue/carry-on-warrior-thoughts-on-life-unarmed_672/index.html","Open Link")</f>
        <v/>
      </c>
    </row>
    <row r="331">
      <c r="A331" t="inlineStr">
        <is>
          <t>Carrie</t>
        </is>
      </c>
      <c r="B331" t="inlineStr">
        <is>
          <t>£46.23</t>
        </is>
      </c>
      <c r="C331">
        <f>HYPERLINK("https://books.toscrape.com/catalogue/carrie_671/index.html","Open Link")</f>
        <v/>
      </c>
    </row>
    <row r="332">
      <c r="A332" t="inlineStr">
        <is>
          <t>Buying In: The Secret ...</t>
        </is>
      </c>
      <c r="B332" t="inlineStr">
        <is>
          <t>£37.80</t>
        </is>
      </c>
      <c r="C332">
        <f>HYPERLINK("https://books.toscrape.com/catalogue/buying-in-the-secret-dialogue-between-what-we-buy-and-who-we-are_670/index.html","Open Link")</f>
        <v/>
      </c>
    </row>
    <row r="333">
      <c r="A333" t="inlineStr">
        <is>
          <t>Brain on Fire: My ...</t>
        </is>
      </c>
      <c r="B333" t="inlineStr">
        <is>
          <t>£49.32</t>
        </is>
      </c>
      <c r="C333">
        <f>HYPERLINK("https://books.toscrape.com/catalogue/brain-on-fire-my-month-of-madness_669/index.html","Open Link")</f>
        <v/>
      </c>
    </row>
    <row r="334">
      <c r="A334" t="inlineStr">
        <is>
          <t>Batman: Europa</t>
        </is>
      </c>
      <c r="B334" t="inlineStr">
        <is>
          <t>£32.01</t>
        </is>
      </c>
      <c r="C334">
        <f>HYPERLINK("https://books.toscrape.com/catalogue/batman-europa_668/index.html","Open Link")</f>
        <v/>
      </c>
    </row>
    <row r="335">
      <c r="A335" t="inlineStr">
        <is>
          <t>Barefoot Contessa Back to ...</t>
        </is>
      </c>
      <c r="B335" t="inlineStr">
        <is>
          <t>£28.01</t>
        </is>
      </c>
      <c r="C335">
        <f>HYPERLINK("https://books.toscrape.com/catalogue/barefoot-contessa-back-to-basics_667/index.html","Open Link")</f>
        <v/>
      </c>
    </row>
    <row r="336">
      <c r="A336" t="inlineStr">
        <is>
          <t>Barefoot Contessa at Home: ...</t>
        </is>
      </c>
      <c r="B336" t="inlineStr">
        <is>
          <t>£50.62</t>
        </is>
      </c>
      <c r="C336">
        <f>HYPERLINK("https://books.toscrape.com/catalogue/barefoot-contessa-at-home-everyday-recipes-youll-make-over-and-over-again_666/index.html","Open Link")</f>
        <v/>
      </c>
    </row>
    <row r="337">
      <c r="A337" t="inlineStr">
        <is>
          <t>Balloon Animals</t>
        </is>
      </c>
      <c r="B337" t="inlineStr">
        <is>
          <t>£17.03</t>
        </is>
      </c>
      <c r="C337">
        <f>HYPERLINK("https://books.toscrape.com/catalogue/balloon-animals_665/index.html","Open Link")</f>
        <v/>
      </c>
    </row>
    <row r="338">
      <c r="A338" t="inlineStr">
        <is>
          <t>Art Ops Vol. 1</t>
        </is>
      </c>
      <c r="B338" t="inlineStr">
        <is>
          <t>£48.80</t>
        </is>
      </c>
      <c r="C338">
        <f>HYPERLINK("https://books.toscrape.com/catalogue/art-ops-vol-1_664/index.html","Open Link")</f>
        <v/>
      </c>
    </row>
    <row r="339">
      <c r="A339" t="inlineStr">
        <is>
          <t>Aristotle and Dante Discover ...</t>
        </is>
      </c>
      <c r="B339" t="inlineStr">
        <is>
          <t>£58.14</t>
        </is>
      </c>
      <c r="C339">
        <f>HYPERLINK("https://books.toscrape.com/catalogue/aristotle-and-dante-discover-the-secrets-of-the-universe-aristotle-and-dante-discover-the-secrets-of-the-universe-1_663/index.html","Open Link")</f>
        <v/>
      </c>
    </row>
    <row r="340">
      <c r="A340" t="inlineStr">
        <is>
          <t>Angels Walking (Angels Walking ...</t>
        </is>
      </c>
      <c r="B340" t="inlineStr">
        <is>
          <t>£34.20</t>
        </is>
      </c>
      <c r="C340">
        <f>HYPERLINK("https://books.toscrape.com/catalogue/angels-walking-angels-walking-1_662/index.html","Open Link")</f>
        <v/>
      </c>
    </row>
    <row r="341">
      <c r="A341" t="inlineStr">
        <is>
          <t>Angels &amp; Demons (Robert ...</t>
        </is>
      </c>
      <c r="B341" t="inlineStr">
        <is>
          <t>£51.48</t>
        </is>
      </c>
      <c r="C341">
        <f>HYPERLINK("https://books.toscrape.com/catalogue/angels-demons-robert-langdon-1_661/index.html","Open Link")</f>
        <v/>
      </c>
    </row>
    <row r="342">
      <c r="A342" t="inlineStr">
        <is>
          <t>All the Light We ...</t>
        </is>
      </c>
      <c r="B342" t="inlineStr">
        <is>
          <t>£29.87</t>
        </is>
      </c>
      <c r="C342">
        <f>HYPERLINK("https://books.toscrape.com/catalogue/all-the-light-we-cannot-see_660/index.html","Open Link")</f>
        <v/>
      </c>
    </row>
    <row r="343">
      <c r="A343" t="inlineStr">
        <is>
          <t>Adulthood Is a Myth: ...</t>
        </is>
      </c>
      <c r="B343" t="inlineStr">
        <is>
          <t>£10.90</t>
        </is>
      </c>
      <c r="C343">
        <f>HYPERLINK("https://books.toscrape.com/catalogue/adulthood-is-a-myth-a-sarahs-scribbles-collection_659/index.html","Open Link")</f>
        <v/>
      </c>
    </row>
    <row r="344">
      <c r="A344" t="inlineStr">
        <is>
          <t>Abstract City</t>
        </is>
      </c>
      <c r="B344" t="inlineStr">
        <is>
          <t>£56.37</t>
        </is>
      </c>
      <c r="C344">
        <f>HYPERLINK("https://books.toscrape.com/catalogue/abstract-city_658/index.html","Open Link")</f>
        <v/>
      </c>
    </row>
    <row r="345">
      <c r="A345" t="inlineStr">
        <is>
          <t>A Time of Torment ...</t>
        </is>
      </c>
      <c r="B345" t="inlineStr">
        <is>
          <t>£48.35</t>
        </is>
      </c>
      <c r="C345">
        <f>HYPERLINK("https://books.toscrape.com/catalogue/a-time-of-torment-charlie-parker-14_657/index.html","Open Link")</f>
        <v/>
      </c>
    </row>
    <row r="346">
      <c r="A346" t="inlineStr">
        <is>
          <t>A Study in Scarlet ...</t>
        </is>
      </c>
      <c r="B346" t="inlineStr">
        <is>
          <t>£16.73</t>
        </is>
      </c>
      <c r="C346">
        <f>HYPERLINK("https://books.toscrape.com/catalogue/a-study-in-scarlet-sherlock-holmes-1_656/index.html","Open Link")</f>
        <v/>
      </c>
    </row>
    <row r="347">
      <c r="A347" t="inlineStr">
        <is>
          <t>A Series of Catastrophes ...</t>
        </is>
      </c>
      <c r="B347" t="inlineStr">
        <is>
          <t>£56.48</t>
        </is>
      </c>
      <c r="C347">
        <f>HYPERLINK("https://books.toscrape.com/catalogue/a-series-of-catastrophes-and-miracles-a-true-story-of-love-science-and-cancer_655/index.html","Open Link")</f>
        <v/>
      </c>
    </row>
    <row r="348">
      <c r="A348" t="inlineStr">
        <is>
          <t>A People's History of ...</t>
        </is>
      </c>
      <c r="B348" t="inlineStr">
        <is>
          <t>£40.79</t>
        </is>
      </c>
      <c r="C348">
        <f>HYPERLINK("https://books.toscrape.com/catalogue/a-peoples-history-of-the-united-states_654/index.html","Open Link")</f>
        <v/>
      </c>
    </row>
    <row r="349">
      <c r="A349" t="inlineStr">
        <is>
          <t>A Man Called Ove</t>
        </is>
      </c>
      <c r="B349" t="inlineStr">
        <is>
          <t>£39.72</t>
        </is>
      </c>
      <c r="C349">
        <f>HYPERLINK("https://books.toscrape.com/catalogue/a-man-called-ove_653/index.html","Open Link")</f>
        <v/>
      </c>
    </row>
    <row r="350">
      <c r="A350" t="inlineStr">
        <is>
          <t>A Distant Mirror: The ...</t>
        </is>
      </c>
      <c r="B350" t="inlineStr">
        <is>
          <t>£14.58</t>
        </is>
      </c>
      <c r="C350">
        <f>HYPERLINK("https://books.toscrape.com/catalogue/a-distant-mirror-the-calamitous-14th-century_652/index.html","Open Link")</f>
        <v/>
      </c>
    </row>
    <row r="351">
      <c r="A351" t="inlineStr">
        <is>
          <t>A Brush of Wings ...</t>
        </is>
      </c>
      <c r="B351" t="inlineStr">
        <is>
          <t>£55.51</t>
        </is>
      </c>
      <c r="C351">
        <f>HYPERLINK("https://books.toscrape.com/catalogue/a-brush-of-wings-angels-walking-3_651/index.html","Open Link")</f>
        <v/>
      </c>
    </row>
    <row r="352">
      <c r="A352" t="inlineStr">
        <is>
          <t>1491: New Revelations of ...</t>
        </is>
      </c>
      <c r="B352" t="inlineStr">
        <is>
          <t>£21.80</t>
        </is>
      </c>
      <c r="C352">
        <f>HYPERLINK("https://books.toscrape.com/catalogue/1491-new-revelations-of-the-americas-before-columbus_650/index.html","Open Link")</f>
        <v/>
      </c>
    </row>
    <row r="353">
      <c r="A353" t="inlineStr">
        <is>
          <t>The Three Searches, Meaning, ...</t>
        </is>
      </c>
      <c r="B353" t="inlineStr">
        <is>
          <t>£13.33</t>
        </is>
      </c>
      <c r="C353">
        <f>HYPERLINK("https://books.toscrape.com/catalogue/the-three-searches-meaning-and-the-story_649/index.html","Open Link")</f>
        <v/>
      </c>
    </row>
    <row r="354">
      <c r="A354" t="inlineStr">
        <is>
          <t>Searching for Meaning in ...</t>
        </is>
      </c>
      <c r="B354" t="inlineStr">
        <is>
          <t>£38.73</t>
        </is>
      </c>
      <c r="C354">
        <f>HYPERLINK("https://books.toscrape.com/catalogue/searching-for-meaning-in-gailana_648/index.html","Open Link")</f>
        <v/>
      </c>
    </row>
    <row r="355">
      <c r="A355" t="inlineStr">
        <is>
          <t>Rook</t>
        </is>
      </c>
      <c r="B355" t="inlineStr">
        <is>
          <t>£37.86</t>
        </is>
      </c>
      <c r="C355">
        <f>HYPERLINK("https://books.toscrape.com/catalogue/rook_647/index.html","Open Link")</f>
        <v/>
      </c>
    </row>
    <row r="356">
      <c r="A356" t="inlineStr">
        <is>
          <t>My Kitchen Year: 136 ...</t>
        </is>
      </c>
      <c r="B356" t="inlineStr">
        <is>
          <t>£11.53</t>
        </is>
      </c>
      <c r="C356">
        <f>HYPERLINK("https://books.toscrape.com/catalogue/my-kitchen-year-136-recipes-that-saved-my-life_646/index.html","Open Link")</f>
        <v/>
      </c>
    </row>
    <row r="357">
      <c r="A357" t="inlineStr">
        <is>
          <t>13 Hours: The Inside ...</t>
        </is>
      </c>
      <c r="B357" t="inlineStr">
        <is>
          <t>£27.06</t>
        </is>
      </c>
      <c r="C357">
        <f>HYPERLINK("https://books.toscrape.com/catalogue/13-hours-the-inside-account-of-what-really-happened-in-benghazi_645/index.html","Open Link")</f>
        <v/>
      </c>
    </row>
    <row r="358">
      <c r="A358" t="inlineStr">
        <is>
          <t>Will You Won't You ...</t>
        </is>
      </c>
      <c r="B358" t="inlineStr">
        <is>
          <t>£13.86</t>
        </is>
      </c>
      <c r="C358">
        <f>HYPERLINK("https://books.toscrape.com/catalogue/will-you-wont-you-want-me_644/index.html","Open Link")</f>
        <v/>
      </c>
    </row>
    <row r="359">
      <c r="A359" t="inlineStr">
        <is>
          <t>Tipping Point for Planet ...</t>
        </is>
      </c>
      <c r="B359" t="inlineStr">
        <is>
          <t>£37.55</t>
        </is>
      </c>
      <c r="C359">
        <f>HYPERLINK("https://books.toscrape.com/catalogue/tipping-point-for-planet-earth-how-close-are-we-to-the-edge_643/index.html","Open Link")</f>
        <v/>
      </c>
    </row>
    <row r="360">
      <c r="A360" t="inlineStr">
        <is>
          <t>The Star-Touched Queen</t>
        </is>
      </c>
      <c r="B360" t="inlineStr">
        <is>
          <t>£32.30</t>
        </is>
      </c>
      <c r="C360">
        <f>HYPERLINK("https://books.toscrape.com/catalogue/the-star-touched-queen_642/index.html","Open Link")</f>
        <v/>
      </c>
    </row>
    <row r="361">
      <c r="A361" t="inlineStr">
        <is>
          <t>The Silent Sister (Riley ...</t>
        </is>
      </c>
      <c r="B361" t="inlineStr">
        <is>
          <t>£46.29</t>
        </is>
      </c>
      <c r="C361">
        <f>HYPERLINK("https://books.toscrape.com/catalogue/the-silent-sister-riley-macpherson-1_641/index.html","Open Link")</f>
        <v/>
      </c>
    </row>
    <row r="362">
      <c r="A362" t="inlineStr">
        <is>
          <t>The Midnight Watch: A ...</t>
        </is>
      </c>
      <c r="B362" t="inlineStr">
        <is>
          <t>£26.20</t>
        </is>
      </c>
      <c r="C362">
        <f>HYPERLINK("https://books.toscrape.com/catalogue/the-midnight-watch-a-novel-of-the-titanic-and-the-californian_640/index.html","Open Link")</f>
        <v/>
      </c>
    </row>
    <row r="363">
      <c r="A363" t="inlineStr">
        <is>
          <t>The Lonely City: Adventures ...</t>
        </is>
      </c>
      <c r="B363" t="inlineStr">
        <is>
          <t>£33.26</t>
        </is>
      </c>
      <c r="C363">
        <f>HYPERLINK("https://books.toscrape.com/catalogue/the-lonely-city-adventures-in-the-art-of-being-alone_639/index.html","Open Link")</f>
        <v/>
      </c>
    </row>
    <row r="364">
      <c r="A364" t="inlineStr">
        <is>
          <t>The Gray Rhino: How ...</t>
        </is>
      </c>
      <c r="B364" t="inlineStr">
        <is>
          <t>£59.15</t>
        </is>
      </c>
      <c r="C364">
        <f>HYPERLINK("https://books.toscrape.com/catalogue/the-gray-rhino-how-to-recognize-and-act-on-the-obvious-dangers-we-ignore_638/index.html","Open Link")</f>
        <v/>
      </c>
    </row>
    <row r="365">
      <c r="A365" t="inlineStr">
        <is>
          <t>The Golden Condom: And ...</t>
        </is>
      </c>
      <c r="B365" t="inlineStr">
        <is>
          <t>£39.43</t>
        </is>
      </c>
      <c r="C365">
        <f>HYPERLINK("https://books.toscrape.com/catalogue/the-golden-condom-and-other-essays-on-love-lost-and-found_637/index.html","Open Link")</f>
        <v/>
      </c>
    </row>
    <row r="366">
      <c r="A366" t="inlineStr">
        <is>
          <t>The Epidemic (The Program ...</t>
        </is>
      </c>
      <c r="B366" t="inlineStr">
        <is>
          <t>£14.44</t>
        </is>
      </c>
      <c r="C366">
        <f>HYPERLINK("https://books.toscrape.com/catalogue/the-epidemic-the-program-06_636/index.html","Open Link")</f>
        <v/>
      </c>
    </row>
    <row r="367">
      <c r="A367" t="inlineStr">
        <is>
          <t>The Dinner Party</t>
        </is>
      </c>
      <c r="B367" t="inlineStr">
        <is>
          <t>£56.54</t>
        </is>
      </c>
      <c r="C367">
        <f>HYPERLINK("https://books.toscrape.com/catalogue/the-dinner-party_635/index.html","Open Link")</f>
        <v/>
      </c>
    </row>
    <row r="368">
      <c r="A368" t="inlineStr">
        <is>
          <t>The Diary of a ...</t>
        </is>
      </c>
      <c r="B368" t="inlineStr">
        <is>
          <t>£59.90</t>
        </is>
      </c>
      <c r="C368">
        <f>HYPERLINK("https://books.toscrape.com/catalogue/the-diary-of-a-young-girl_634/index.html","Open Link")</f>
        <v/>
      </c>
    </row>
    <row r="369">
      <c r="A369" t="inlineStr">
        <is>
          <t>The Children</t>
        </is>
      </c>
      <c r="B369" t="inlineStr">
        <is>
          <t>£11.88</t>
        </is>
      </c>
      <c r="C369">
        <f>HYPERLINK("https://books.toscrape.com/catalogue/the-children_633/index.html","Open Link")</f>
        <v/>
      </c>
    </row>
    <row r="370">
      <c r="A370" t="inlineStr">
        <is>
          <t>Stars Above (The Lunar ...</t>
        </is>
      </c>
      <c r="B370" t="inlineStr">
        <is>
          <t>£48.05</t>
        </is>
      </c>
      <c r="C370">
        <f>HYPERLINK("https://books.toscrape.com/catalogue/stars-above-the-lunar-chronicles-45_632/index.html","Open Link")</f>
        <v/>
      </c>
    </row>
    <row r="371">
      <c r="A371" t="inlineStr">
        <is>
          <t>Snatched: How A Drug ...</t>
        </is>
      </c>
      <c r="B371" t="inlineStr">
        <is>
          <t>£21.21</t>
        </is>
      </c>
      <c r="C371">
        <f>HYPERLINK("https://books.toscrape.com/catalogue/snatched-how-a-drug-queen-went-undercover-for-the-dea-and-was-kidnapped-by-colombian-guerillas_631/index.html","Open Link")</f>
        <v/>
      </c>
    </row>
    <row r="372">
      <c r="A372" t="inlineStr">
        <is>
          <t>Raspberry Pi Electronics Projects ...</t>
        </is>
      </c>
      <c r="B372" t="inlineStr">
        <is>
          <t>£49.67</t>
        </is>
      </c>
      <c r="C372">
        <f>HYPERLINK("https://books.toscrape.com/catalogue/raspberry-pi-electronics-projects-for-the-evil-genius_630/index.html","Open Link")</f>
        <v/>
      </c>
    </row>
    <row r="373">
      <c r="A373" t="inlineStr">
        <is>
          <t>Quench Your Own Thirst: ...</t>
        </is>
      </c>
      <c r="B373" t="inlineStr">
        <is>
          <t>£43.14</t>
        </is>
      </c>
      <c r="C373">
        <f>HYPERLINK("https://books.toscrape.com/catalogue/quench-your-own-thirst-business-lessons-learned-over-a-beer-or-two_629/index.html","Open Link")</f>
        <v/>
      </c>
    </row>
    <row r="374">
      <c r="A374" t="inlineStr">
        <is>
          <t>Psycho: Sanitarium (Psycho #1.5)</t>
        </is>
      </c>
      <c r="B374" t="inlineStr">
        <is>
          <t>£36.97</t>
        </is>
      </c>
      <c r="C374">
        <f>HYPERLINK("https://books.toscrape.com/catalogue/psycho-sanitarium-psycho-15_628/index.html","Open Link")</f>
        <v/>
      </c>
    </row>
    <row r="375">
      <c r="A375" t="inlineStr">
        <is>
          <t>Poisonous (Max Revere Novels ...</t>
        </is>
      </c>
      <c r="B375" t="inlineStr">
        <is>
          <t>£26.80</t>
        </is>
      </c>
      <c r="C375">
        <f>HYPERLINK("https://books.toscrape.com/catalogue/poisonous-max-revere-novels-3_627/index.html","Open Link")</f>
        <v/>
      </c>
    </row>
    <row r="376">
      <c r="A376" t="inlineStr">
        <is>
          <t>One with You (Crossfire ...</t>
        </is>
      </c>
      <c r="B376" t="inlineStr">
        <is>
          <t>£15.71</t>
        </is>
      </c>
      <c r="C376">
        <f>HYPERLINK("https://books.toscrape.com/catalogue/one-with-you-crossfire-5_626/index.html","Open Link")</f>
        <v/>
      </c>
    </row>
    <row r="377">
      <c r="A377" t="inlineStr">
        <is>
          <t>No Love Allowed (Dodge ...</t>
        </is>
      </c>
      <c r="B377" t="inlineStr">
        <is>
          <t>£54.65</t>
        </is>
      </c>
      <c r="C377">
        <f>HYPERLINK("https://books.toscrape.com/catalogue/no-love-allowed-dodge-cove-1_625/index.html","Open Link")</f>
        <v/>
      </c>
    </row>
    <row r="378">
      <c r="A378" t="inlineStr">
        <is>
          <t>Murder at the 42nd ...</t>
        </is>
      </c>
      <c r="B378" t="inlineStr">
        <is>
          <t>£54.36</t>
        </is>
      </c>
      <c r="C378">
        <f>HYPERLINK("https://books.toscrape.com/catalogue/murder-at-the-42nd-street-library-raymond-ambler-1_624/index.html","Open Link")</f>
        <v/>
      </c>
    </row>
    <row r="379">
      <c r="A379" t="inlineStr">
        <is>
          <t>Most Wanted</t>
        </is>
      </c>
      <c r="B379" t="inlineStr">
        <is>
          <t>£35.28</t>
        </is>
      </c>
      <c r="C379">
        <f>HYPERLINK("https://books.toscrape.com/catalogue/most-wanted_623/index.html","Open Link")</f>
        <v/>
      </c>
    </row>
    <row r="380">
      <c r="A380" t="inlineStr">
        <is>
          <t>Love, Lies and Spies</t>
        </is>
      </c>
      <c r="B380" t="inlineStr">
        <is>
          <t>£20.55</t>
        </is>
      </c>
      <c r="C380">
        <f>HYPERLINK("https://books.toscrape.com/catalogue/love-lies-and-spies_622/index.html","Open Link")</f>
        <v/>
      </c>
    </row>
    <row r="381">
      <c r="A381" t="inlineStr">
        <is>
          <t>How to Speak Golf: ...</t>
        </is>
      </c>
      <c r="B381" t="inlineStr">
        <is>
          <t>£58.32</t>
        </is>
      </c>
      <c r="C381">
        <f>HYPERLINK("https://books.toscrape.com/catalogue/how-to-speak-golf-an-illustrated-guide-to-links-lingo_621/index.html","Open Link")</f>
        <v/>
      </c>
    </row>
    <row r="382">
      <c r="A382" t="inlineStr">
        <is>
          <t>Hide Away (Eve Duncan ...</t>
        </is>
      </c>
      <c r="B382" t="inlineStr">
        <is>
          <t>£11.84</t>
        </is>
      </c>
      <c r="C382">
        <f>HYPERLINK("https://books.toscrape.com/catalogue/hide-away-eve-duncan-20_620/index.html","Open Link")</f>
        <v/>
      </c>
    </row>
    <row r="383">
      <c r="A383" t="inlineStr">
        <is>
          <t>Furiously Happy: A Funny ...</t>
        </is>
      </c>
      <c r="B383" t="inlineStr">
        <is>
          <t>£41.46</t>
        </is>
      </c>
      <c r="C383">
        <f>HYPERLINK("https://books.toscrape.com/catalogue/furiously-happy-a-funny-book-about-horrible-things_619/index.html","Open Link")</f>
        <v/>
      </c>
    </row>
    <row r="384">
      <c r="A384" t="inlineStr">
        <is>
          <t>Everyday Italian: 125 Simple ...</t>
        </is>
      </c>
      <c r="B384" t="inlineStr">
        <is>
          <t>£20.10</t>
        </is>
      </c>
      <c r="C384">
        <f>HYPERLINK("https://books.toscrape.com/catalogue/everyday-italian-125-simple-and-delicious-recipes_618/index.html","Open Link")</f>
        <v/>
      </c>
    </row>
    <row r="385">
      <c r="A385" t="inlineStr">
        <is>
          <t>Equal Is Unfair: America's ...</t>
        </is>
      </c>
      <c r="B385" t="inlineStr">
        <is>
          <t>£56.86</t>
        </is>
      </c>
      <c r="C385">
        <f>HYPERLINK("https://books.toscrape.com/catalogue/equal-is-unfair-americas-misguided-fight-against-income-inequality_617/index.html","Open Link")</f>
        <v/>
      </c>
    </row>
    <row r="386">
      <c r="A386" t="inlineStr">
        <is>
          <t>Eleanor &amp; Park</t>
        </is>
      </c>
      <c r="B386" t="inlineStr">
        <is>
          <t>£56.51</t>
        </is>
      </c>
      <c r="C386">
        <f>HYPERLINK("https://books.toscrape.com/catalogue/eleanor-park_616/index.html","Open Link")</f>
        <v/>
      </c>
    </row>
    <row r="387">
      <c r="A387" t="inlineStr">
        <is>
          <t>Dirty (Dive Bar #1)</t>
        </is>
      </c>
      <c r="B387" t="inlineStr">
        <is>
          <t>£40.83</t>
        </is>
      </c>
      <c r="C387">
        <f>HYPERLINK("https://books.toscrape.com/catalogue/dirty-dive-bar-1_615/index.html","Open Link")</f>
        <v/>
      </c>
    </row>
    <row r="388">
      <c r="A388" t="inlineStr">
        <is>
          <t>Can You Keep a ...</t>
        </is>
      </c>
      <c r="B388" t="inlineStr">
        <is>
          <t>£48.64</t>
        </is>
      </c>
      <c r="C388">
        <f>HYPERLINK("https://books.toscrape.com/catalogue/can-you-keep-a-secret-fear-street-relaunch-4_614/index.html","Open Link")</f>
        <v/>
      </c>
    </row>
    <row r="389">
      <c r="A389" t="inlineStr">
        <is>
          <t>Boar Island (Anna Pigeon ...</t>
        </is>
      </c>
      <c r="B389" t="inlineStr">
        <is>
          <t>£59.48</t>
        </is>
      </c>
      <c r="C389">
        <f>HYPERLINK("https://books.toscrape.com/catalogue/boar-island-anna-pigeon-19_613/index.html","Open Link")</f>
        <v/>
      </c>
    </row>
    <row r="390">
      <c r="A390" t="inlineStr">
        <is>
          <t>A Paris Apartment</t>
        </is>
      </c>
      <c r="B390" t="inlineStr">
        <is>
          <t>£39.01</t>
        </is>
      </c>
      <c r="C390">
        <f>HYPERLINK("https://books.toscrape.com/catalogue/a-paris-apartment_612/index.html","Open Link")</f>
        <v/>
      </c>
    </row>
    <row r="391">
      <c r="A391" t="inlineStr">
        <is>
          <t>A la Mode: 120 ...</t>
        </is>
      </c>
      <c r="B391" t="inlineStr">
        <is>
          <t>£38.77</t>
        </is>
      </c>
      <c r="C391">
        <f>HYPERLINK("https://books.toscrape.com/catalogue/a-la-mode-120-recipes-in-60-pairings-pies-tarts-cakes-crisps-and-more-topped-with-ice-cream-gelato-frozen-custard-and-more_611/index.html","Open Link")</f>
        <v/>
      </c>
    </row>
    <row r="392">
      <c r="A392" t="inlineStr">
        <is>
          <t>Troublemaker: Surviving Hollywood and ...</t>
        </is>
      </c>
      <c r="B392" t="inlineStr">
        <is>
          <t>£48.39</t>
        </is>
      </c>
      <c r="C392">
        <f>HYPERLINK("https://books.toscrape.com/catalogue/troublemaker-surviving-hollywood-and-scientology_610/index.html","Open Link")</f>
        <v/>
      </c>
    </row>
    <row r="393">
      <c r="A393" t="inlineStr">
        <is>
          <t>The Widow</t>
        </is>
      </c>
      <c r="B393" t="inlineStr">
        <is>
          <t>£27.26</t>
        </is>
      </c>
      <c r="C393">
        <f>HYPERLINK("https://books.toscrape.com/catalogue/the-widow_609/index.html","Open Link")</f>
        <v/>
      </c>
    </row>
    <row r="394">
      <c r="A394" t="inlineStr">
        <is>
          <t>The Sleep Revolution: Transforming ...</t>
        </is>
      </c>
      <c r="B394" t="inlineStr">
        <is>
          <t>£11.68</t>
        </is>
      </c>
      <c r="C394">
        <f>HYPERLINK("https://books.toscrape.com/catalogue/the-sleep-revolution-transforming-your-life-one-night-at-a-time_608/index.html","Open Link")</f>
        <v/>
      </c>
    </row>
    <row r="395">
      <c r="A395" t="inlineStr">
        <is>
          <t>The Improbability of Love</t>
        </is>
      </c>
      <c r="B395" t="inlineStr">
        <is>
          <t>£59.45</t>
        </is>
      </c>
      <c r="C395">
        <f>HYPERLINK("https://books.toscrape.com/catalogue/the-improbability-of-love_607/index.html","Open Link")</f>
        <v/>
      </c>
    </row>
    <row r="396">
      <c r="A396" t="inlineStr">
        <is>
          <t>The Art of Startup ...</t>
        </is>
      </c>
      <c r="B396" t="inlineStr">
        <is>
          <t>£21.00</t>
        </is>
      </c>
      <c r="C396">
        <f>HYPERLINK("https://books.toscrape.com/catalogue/the-art-of-startup-fundraising_606/index.html","Open Link")</f>
        <v/>
      </c>
    </row>
    <row r="397">
      <c r="A397" t="inlineStr">
        <is>
          <t>Take Me Home Tonight ...</t>
        </is>
      </c>
      <c r="B397" t="inlineStr">
        <is>
          <t>£53.98</t>
        </is>
      </c>
      <c r="C397">
        <f>HYPERLINK("https://books.toscrape.com/catalogue/take-me-home-tonight-rock-star-romance-3_605/index.html","Open Link")</f>
        <v/>
      </c>
    </row>
    <row r="398">
      <c r="A398" t="inlineStr">
        <is>
          <t>Sleeping Giants (Themis Files ...</t>
        </is>
      </c>
      <c r="B398" t="inlineStr">
        <is>
          <t>£48.74</t>
        </is>
      </c>
      <c r="C398">
        <f>HYPERLINK("https://books.toscrape.com/catalogue/sleeping-giants-themis-files-1_604/index.html","Open Link")</f>
        <v/>
      </c>
    </row>
    <row r="399">
      <c r="A399" t="inlineStr">
        <is>
          <t>Setting the World on ...</t>
        </is>
      </c>
      <c r="B399" t="inlineStr">
        <is>
          <t>£21.15</t>
        </is>
      </c>
      <c r="C399">
        <f>HYPERLINK("https://books.toscrape.com/catalogue/setting-the-world-on-fire-the-brief-astonishing-life-of-st-catherine-of-siena_603/index.html","Open Link")</f>
        <v/>
      </c>
    </row>
    <row r="400">
      <c r="A400" t="inlineStr">
        <is>
          <t>Playing with Fire</t>
        </is>
      </c>
      <c r="B400" t="inlineStr">
        <is>
          <t>£13.71</t>
        </is>
      </c>
      <c r="C400">
        <f>HYPERLINK("https://books.toscrape.com/catalogue/playing-with-fire_602/index.html","Open Link")</f>
        <v/>
      </c>
    </row>
    <row r="401">
      <c r="A401" t="inlineStr">
        <is>
          <t>Off the Hook (Fishing ...</t>
        </is>
      </c>
      <c r="B401" t="inlineStr">
        <is>
          <t>£47.67</t>
        </is>
      </c>
      <c r="C401">
        <f>HYPERLINK("https://books.toscrape.com/catalogue/off-the-hook-fishing-for-trouble-1_601/index.html","Open Link")</f>
        <v/>
      </c>
    </row>
    <row r="402">
      <c r="A402" t="inlineStr">
        <is>
          <t>Mothering Sunday</t>
        </is>
      </c>
      <c r="B402" t="inlineStr">
        <is>
          <t>£13.34</t>
        </is>
      </c>
      <c r="C402">
        <f>HYPERLINK("https://books.toscrape.com/catalogue/mothering-sunday_600/index.html","Open Link")</f>
        <v/>
      </c>
    </row>
    <row r="403">
      <c r="A403" t="inlineStr">
        <is>
          <t>Mother, Can You Not?</t>
        </is>
      </c>
      <c r="B403" t="inlineStr">
        <is>
          <t>£16.89</t>
        </is>
      </c>
      <c r="C403">
        <f>HYPERLINK("https://books.toscrape.com/catalogue/mother-can-you-not_599/index.html","Open Link")</f>
        <v/>
      </c>
    </row>
    <row r="404">
      <c r="A404" t="inlineStr">
        <is>
          <t>M Train</t>
        </is>
      </c>
      <c r="B404" t="inlineStr">
        <is>
          <t>£27.18</t>
        </is>
      </c>
      <c r="C404">
        <f>HYPERLINK("https://books.toscrape.com/catalogue/m-train_598/index.html","Open Link")</f>
        <v/>
      </c>
    </row>
    <row r="405">
      <c r="A405" t="inlineStr">
        <is>
          <t>Lilac Girls</t>
        </is>
      </c>
      <c r="B405" t="inlineStr">
        <is>
          <t>£17.28</t>
        </is>
      </c>
      <c r="C405">
        <f>HYPERLINK("https://books.toscrape.com/catalogue/lilac-girls_597/index.html","Open Link")</f>
        <v/>
      </c>
    </row>
    <row r="406">
      <c r="A406" t="inlineStr">
        <is>
          <t>Lies and Other Acts ...</t>
        </is>
      </c>
      <c r="B406" t="inlineStr">
        <is>
          <t>£45.14</t>
        </is>
      </c>
      <c r="C406">
        <f>HYPERLINK("https://books.toscrape.com/catalogue/lies-and-other-acts-of-love_596/index.html","Open Link")</f>
        <v/>
      </c>
    </row>
    <row r="407">
      <c r="A407" t="inlineStr">
        <is>
          <t>Lab Girl</t>
        </is>
      </c>
      <c r="B407" t="inlineStr">
        <is>
          <t>£40.85</t>
        </is>
      </c>
      <c r="C407">
        <f>HYPERLINK("https://books.toscrape.com/catalogue/lab-girl_595/index.html","Open Link")</f>
        <v/>
      </c>
    </row>
    <row r="408">
      <c r="A408" t="inlineStr">
        <is>
          <t>Keep Me Posted</t>
        </is>
      </c>
      <c r="B408" t="inlineStr">
        <is>
          <t>£20.46</t>
        </is>
      </c>
      <c r="C408">
        <f>HYPERLINK("https://books.toscrape.com/catalogue/keep-me-posted_594/index.html","Open Link")</f>
        <v/>
      </c>
    </row>
    <row r="409">
      <c r="A409" t="inlineStr">
        <is>
          <t>It Didn't Start with ...</t>
        </is>
      </c>
      <c r="B409" t="inlineStr">
        <is>
          <t>£56.27</t>
        </is>
      </c>
      <c r="C409">
        <f>HYPERLINK("https://books.toscrape.com/catalogue/it-didnt-start-with-you-how-inherited-family-trauma-shapes-who-we-are-and-how-to-end-the-cycle_593/index.html","Open Link")</f>
        <v/>
      </c>
    </row>
    <row r="410">
      <c r="A410" t="inlineStr">
        <is>
          <t>Grey (Fifty Shades #4)</t>
        </is>
      </c>
      <c r="B410" t="inlineStr">
        <is>
          <t>£48.49</t>
        </is>
      </c>
      <c r="C410">
        <f>HYPERLINK("https://books.toscrape.com/catalogue/grey-fifty-shades-4_592/index.html","Open Link")</f>
        <v/>
      </c>
    </row>
    <row r="411">
      <c r="A411" t="inlineStr">
        <is>
          <t>Exit, Pursued by a ...</t>
        </is>
      </c>
      <c r="B411" t="inlineStr">
        <is>
          <t>£51.34</t>
        </is>
      </c>
      <c r="C411">
        <f>HYPERLINK("https://books.toscrape.com/catalogue/exit-pursued-by-a-bear_591/index.html","Open Link")</f>
        <v/>
      </c>
    </row>
    <row r="412">
      <c r="A412" t="inlineStr">
        <is>
          <t>Daredevils</t>
        </is>
      </c>
      <c r="B412" t="inlineStr">
        <is>
          <t>£16.34</t>
        </is>
      </c>
      <c r="C412">
        <f>HYPERLINK("https://books.toscrape.com/catalogue/daredevils_590/index.html","Open Link")</f>
        <v/>
      </c>
    </row>
    <row r="413">
      <c r="A413" t="inlineStr">
        <is>
          <t>Cravings: Recipes for What ...</t>
        </is>
      </c>
      <c r="B413" t="inlineStr">
        <is>
          <t>£20.50</t>
        </is>
      </c>
      <c r="C413">
        <f>HYPERLINK("https://books.toscrape.com/catalogue/cravings-recipes-for-what-you-want-to-eat_589/index.html","Open Link")</f>
        <v/>
      </c>
    </row>
    <row r="414">
      <c r="A414" t="inlineStr">
        <is>
          <t>Born for This: How ...</t>
        </is>
      </c>
      <c r="B414" t="inlineStr">
        <is>
          <t>£21.59</t>
        </is>
      </c>
      <c r="C414">
        <f>HYPERLINK("https://books.toscrape.com/catalogue/born-for-this-how-to-find-the-work-you-were-meant-to-do_588/index.html","Open Link")</f>
        <v/>
      </c>
    </row>
    <row r="415">
      <c r="A415" t="inlineStr">
        <is>
          <t>Arena</t>
        </is>
      </c>
      <c r="B415" t="inlineStr">
        <is>
          <t>£21.36</t>
        </is>
      </c>
      <c r="C415">
        <f>HYPERLINK("https://books.toscrape.com/catalogue/arena_587/index.html","Open Link")</f>
        <v/>
      </c>
    </row>
    <row r="416">
      <c r="A416" t="inlineStr">
        <is>
          <t>Adultery</t>
        </is>
      </c>
      <c r="B416" t="inlineStr">
        <is>
          <t>£20.88</t>
        </is>
      </c>
      <c r="C416">
        <f>HYPERLINK("https://books.toscrape.com/catalogue/adultery_586/index.html","Open Link")</f>
        <v/>
      </c>
    </row>
    <row r="417">
      <c r="A417" t="inlineStr">
        <is>
          <t>A Mother's Reckoning: Living ...</t>
        </is>
      </c>
      <c r="B417" t="inlineStr">
        <is>
          <t>£19.53</t>
        </is>
      </c>
      <c r="C417">
        <f>HYPERLINK("https://books.toscrape.com/catalogue/a-mothers-reckoning-living-in-the-aftermath-of-tragedy_585/index.html","Open Link")</f>
        <v/>
      </c>
    </row>
    <row r="418">
      <c r="A418" t="inlineStr">
        <is>
          <t>A Gentleman's Position (Society ...</t>
        </is>
      </c>
      <c r="B418" t="inlineStr">
        <is>
          <t>£14.75</t>
        </is>
      </c>
      <c r="C418">
        <f>HYPERLINK("https://books.toscrape.com/catalogue/a-gentlemans-position-society-of-gentlemen-3_584/index.html","Open Link")</f>
        <v/>
      </c>
    </row>
    <row r="419">
      <c r="A419" t="inlineStr">
        <is>
          <t>11/22/63</t>
        </is>
      </c>
      <c r="B419" t="inlineStr">
        <is>
          <t>£48.48</t>
        </is>
      </c>
      <c r="C419">
        <f>HYPERLINK("https://books.toscrape.com/catalogue/112263_583/index.html","Open Link")</f>
        <v/>
      </c>
    </row>
    <row r="420">
      <c r="A420" t="inlineStr">
        <is>
          <t>10% Happier: How I ...</t>
        </is>
      </c>
      <c r="B420" t="inlineStr">
        <is>
          <t>£24.57</t>
        </is>
      </c>
      <c r="C420">
        <f>HYPERLINK("https://books.toscrape.com/catalogue/10-happier-how-i-tamed-the-voice-in-my-head-reduced-stress-without-losing-my-edge-and-found-self-help-that-actually-works_582/index.html","Open Link")</f>
        <v/>
      </c>
    </row>
    <row r="421">
      <c r="A421" t="inlineStr">
        <is>
          <t>10-Day Green Smoothie Cleanse: ...</t>
        </is>
      </c>
      <c r="B421" t="inlineStr">
        <is>
          <t>£49.71</t>
        </is>
      </c>
      <c r="C421">
        <f>HYPERLINK("https://books.toscrape.com/catalogue/10-day-green-smoothie-cleanse-lose-up-to-15-pounds-in-10-days_581/index.html","Open Link")</f>
        <v/>
      </c>
    </row>
    <row r="422">
      <c r="A422" t="inlineStr">
        <is>
          <t>Without Shame</t>
        </is>
      </c>
      <c r="B422" t="inlineStr">
        <is>
          <t>£48.27</t>
        </is>
      </c>
      <c r="C422">
        <f>HYPERLINK("https://books.toscrape.com/catalogue/without-shame_580/index.html","Open Link")</f>
        <v/>
      </c>
    </row>
    <row r="423">
      <c r="A423" t="inlineStr">
        <is>
          <t>Watchmen</t>
        </is>
      </c>
      <c r="B423" t="inlineStr">
        <is>
          <t>£58.05</t>
        </is>
      </c>
      <c r="C423">
        <f>HYPERLINK("https://books.toscrape.com/catalogue/watchmen_579/index.html","Open Link")</f>
        <v/>
      </c>
    </row>
    <row r="424">
      <c r="A424" t="inlineStr">
        <is>
          <t>Unlimited Intuition Now</t>
        </is>
      </c>
      <c r="B424" t="inlineStr">
        <is>
          <t>£58.87</t>
        </is>
      </c>
      <c r="C424">
        <f>HYPERLINK("https://books.toscrape.com/catalogue/unlimited-intuition-now_578/index.html","Open Link")</f>
        <v/>
      </c>
    </row>
    <row r="425">
      <c r="A425" t="inlineStr">
        <is>
          <t>Underlying Notes</t>
        </is>
      </c>
      <c r="B425" t="inlineStr">
        <is>
          <t>£11.82</t>
        </is>
      </c>
      <c r="C425">
        <f>HYPERLINK("https://books.toscrape.com/catalogue/underlying-notes_577/index.html","Open Link")</f>
        <v/>
      </c>
    </row>
    <row r="426">
      <c r="A426" t="inlineStr">
        <is>
          <t>The Shack</t>
        </is>
      </c>
      <c r="B426" t="inlineStr">
        <is>
          <t>£28.03</t>
        </is>
      </c>
      <c r="C426">
        <f>HYPERLINK("https://books.toscrape.com/catalogue/the-shack_576/index.html","Open Link")</f>
        <v/>
      </c>
    </row>
    <row r="427">
      <c r="A427" t="inlineStr">
        <is>
          <t>The New Brand You: ...</t>
        </is>
      </c>
      <c r="B427" t="inlineStr">
        <is>
          <t>£44.05</t>
        </is>
      </c>
      <c r="C427">
        <f>HYPERLINK("https://books.toscrape.com/catalogue/the-new-brand-you-your-new-image-makes-the-sale-for-you_575/index.html","Open Link")</f>
        <v/>
      </c>
    </row>
    <row r="428">
      <c r="A428" t="inlineStr">
        <is>
          <t>The Moosewood Cookbook: Recipes ...</t>
        </is>
      </c>
      <c r="B428" t="inlineStr">
        <is>
          <t>£12.34</t>
        </is>
      </c>
      <c r="C428">
        <f>HYPERLINK("https://books.toscrape.com/catalogue/the-moosewood-cookbook-recipes-from-moosewood-restaurant-ithaca-new-york_574/index.html","Open Link")</f>
        <v/>
      </c>
    </row>
    <row r="429">
      <c r="A429" t="inlineStr">
        <is>
          <t>The Flowers Lied</t>
        </is>
      </c>
      <c r="B429" t="inlineStr">
        <is>
          <t>£16.68</t>
        </is>
      </c>
      <c r="C429">
        <f>HYPERLINK("https://books.toscrape.com/catalogue/the-flowers-lied_573/index.html","Open Link")</f>
        <v/>
      </c>
    </row>
    <row r="430">
      <c r="A430" t="inlineStr">
        <is>
          <t>The Fabric of the ...</t>
        </is>
      </c>
      <c r="B430" t="inlineStr">
        <is>
          <t>£55.91</t>
        </is>
      </c>
      <c r="C430">
        <f>HYPERLINK("https://books.toscrape.com/catalogue/the-fabric-of-the-cosmos-space-time-and-the-texture-of-reality_572/index.html","Open Link")</f>
        <v/>
      </c>
    </row>
    <row r="431">
      <c r="A431" t="inlineStr">
        <is>
          <t>The Book of Mormon</t>
        </is>
      </c>
      <c r="B431" t="inlineStr">
        <is>
          <t>£24.57</t>
        </is>
      </c>
      <c r="C431">
        <f>HYPERLINK("https://books.toscrape.com/catalogue/the-book-of-mormon_571/index.html","Open Link")</f>
        <v/>
      </c>
    </row>
    <row r="432">
      <c r="A432" t="inlineStr">
        <is>
          <t>The Art and Science ...</t>
        </is>
      </c>
      <c r="B432" t="inlineStr">
        <is>
          <t>£52.98</t>
        </is>
      </c>
      <c r="C432">
        <f>HYPERLINK("https://books.toscrape.com/catalogue/the-art-and-science-of-low-carbohydrate-living_570/index.html","Open Link")</f>
        <v/>
      </c>
    </row>
    <row r="433">
      <c r="A433" t="inlineStr">
        <is>
          <t>The Alien Club</t>
        </is>
      </c>
      <c r="B433" t="inlineStr">
        <is>
          <t>£54.40</t>
        </is>
      </c>
      <c r="C433">
        <f>HYPERLINK("https://books.toscrape.com/catalogue/the-alien-club_569/index.html","Open Link")</f>
        <v/>
      </c>
    </row>
    <row r="434">
      <c r="A434" t="inlineStr">
        <is>
          <t>Suzie Snowflake: One beautiful ...</t>
        </is>
      </c>
      <c r="B434" t="inlineStr">
        <is>
          <t>£54.81</t>
        </is>
      </c>
      <c r="C434">
        <f>HYPERLINK("https://books.toscrape.com/catalogue/suzie-snowflake-one-beautiful-flake-a-self-esteem-story_568/index.html","Open Link")</f>
        <v/>
      </c>
    </row>
    <row r="435">
      <c r="A435" t="inlineStr">
        <is>
          <t>Nap-a-Roo</t>
        </is>
      </c>
      <c r="B435" t="inlineStr">
        <is>
          <t>£25.08</t>
        </is>
      </c>
      <c r="C435">
        <f>HYPERLINK("https://books.toscrape.com/catalogue/nap-a-roo_567/index.html","Open Link")</f>
        <v/>
      </c>
    </row>
    <row r="436">
      <c r="A436" t="inlineStr">
        <is>
          <t>NaNo What Now? Finding ...</t>
        </is>
      </c>
      <c r="B436" t="inlineStr">
        <is>
          <t>£10.41</t>
        </is>
      </c>
      <c r="C436">
        <f>HYPERLINK("https://books.toscrape.com/catalogue/nano-what-now-finding-your-editing-process-revising-your-nanowrimo-book-and-building-a-writing-career-through-publishing-and-beyond_566/index.html","Open Link")</f>
        <v/>
      </c>
    </row>
    <row r="437">
      <c r="A437" t="inlineStr">
        <is>
          <t>Modern Day Fables</t>
        </is>
      </c>
      <c r="B437" t="inlineStr">
        <is>
          <t>£47.44</t>
        </is>
      </c>
      <c r="C437">
        <f>HYPERLINK("https://books.toscrape.com/catalogue/modern-day-fables_565/index.html","Open Link")</f>
        <v/>
      </c>
    </row>
    <row r="438">
      <c r="A438" t="inlineStr">
        <is>
          <t>If I Gave You ...</t>
        </is>
      </c>
      <c r="B438" t="inlineStr">
        <is>
          <t>£20.91</t>
        </is>
      </c>
      <c r="C438">
        <f>HYPERLINK("https://books.toscrape.com/catalogue/if-i-gave-you-gods-phone-number-searching-for-spirituality-in-america_564/index.html","Open Link")</f>
        <v/>
      </c>
    </row>
    <row r="439">
      <c r="A439" t="inlineStr">
        <is>
          <t>Fruits Basket, Vol. 9 ...</t>
        </is>
      </c>
      <c r="B439" t="inlineStr">
        <is>
          <t>£33.95</t>
        </is>
      </c>
      <c r="C439">
        <f>HYPERLINK("https://books.toscrape.com/catalogue/fruits-basket-vol-9-fruits-basket-9_563/index.html","Open Link")</f>
        <v/>
      </c>
    </row>
    <row r="440">
      <c r="A440" t="inlineStr">
        <is>
          <t>Dress Your Family in ...</t>
        </is>
      </c>
      <c r="B440" t="inlineStr">
        <is>
          <t>£43.68</t>
        </is>
      </c>
      <c r="C440">
        <f>HYPERLINK("https://books.toscrape.com/catalogue/dress-your-family-in-corduroy-and-denim_562/index.html","Open Link")</f>
        <v/>
      </c>
    </row>
    <row r="441">
      <c r="A441" t="inlineStr">
        <is>
          <t>Don't Forget Steven</t>
        </is>
      </c>
      <c r="B441" t="inlineStr">
        <is>
          <t>£33.23</t>
        </is>
      </c>
      <c r="C441">
        <f>HYPERLINK("https://books.toscrape.com/catalogue/dont-forget-steven_561/index.html","Open Link")</f>
        <v/>
      </c>
    </row>
    <row r="442">
      <c r="A442" t="inlineStr">
        <is>
          <t>Chernobyl 01:23:40: The Incredible ...</t>
        </is>
      </c>
      <c r="B442" t="inlineStr">
        <is>
          <t>£35.92</t>
        </is>
      </c>
      <c r="C442">
        <f>HYPERLINK("https://books.toscrape.com/catalogue/chernobyl-012340-the-incredible-true-story-of-the-worlds-worst-nuclear-disaster_560/index.html","Open Link")</f>
        <v/>
      </c>
    </row>
    <row r="443">
      <c r="A443" t="inlineStr">
        <is>
          <t>Art and Fear: Observations ...</t>
        </is>
      </c>
      <c r="B443" t="inlineStr">
        <is>
          <t>£48.63</t>
        </is>
      </c>
      <c r="C443">
        <f>HYPERLINK("https://books.toscrape.com/catalogue/art-and-fear-observations-on-the-perils-and-rewards-of-artmaking_559/index.html","Open Link")</f>
        <v/>
      </c>
    </row>
    <row r="444">
      <c r="A444" t="inlineStr">
        <is>
          <t>A Shard of Ice ...</t>
        </is>
      </c>
      <c r="B444" t="inlineStr">
        <is>
          <t>£56.63</t>
        </is>
      </c>
      <c r="C444">
        <f>HYPERLINK("https://books.toscrape.com/catalogue/a-shard-of-ice-the-black-symphony-saga-1_558/index.html","Open Link")</f>
        <v/>
      </c>
    </row>
    <row r="445">
      <c r="A445" t="inlineStr">
        <is>
          <t>A Hero's Curse (The ...</t>
        </is>
      </c>
      <c r="B445" t="inlineStr">
        <is>
          <t>£50.49</t>
        </is>
      </c>
      <c r="C445">
        <f>HYPERLINK("https://books.toscrape.com/catalogue/a-heros-curse-the-unseen-chronicles-1_557/index.html","Open Link")</f>
        <v/>
      </c>
    </row>
    <row r="446">
      <c r="A446" t="inlineStr">
        <is>
          <t>23 Degrees South: A ...</t>
        </is>
      </c>
      <c r="B446" t="inlineStr">
        <is>
          <t>£35.79</t>
        </is>
      </c>
      <c r="C446">
        <f>HYPERLINK("https://books.toscrape.com/catalogue/23-degrees-south-a-tropical-tale-of-changing-whether_556/index.html","Open Link")</f>
        <v/>
      </c>
    </row>
    <row r="447">
      <c r="A447" t="inlineStr">
        <is>
          <t>Zero to One: Notes ...</t>
        </is>
      </c>
      <c r="B447" t="inlineStr">
        <is>
          <t>£34.06</t>
        </is>
      </c>
      <c r="C447">
        <f>HYPERLINK("https://books.toscrape.com/catalogue/zero-to-one-notes-on-startups-or-how-to-build-the-future_555/index.html","Open Link")</f>
        <v/>
      </c>
    </row>
    <row r="448">
      <c r="A448" t="inlineStr">
        <is>
          <t>Why Not Me?</t>
        </is>
      </c>
      <c r="B448" t="inlineStr">
        <is>
          <t>£17.76</t>
        </is>
      </c>
      <c r="C448">
        <f>HYPERLINK("https://books.toscrape.com/catalogue/why-not-me_554/index.html","Open Link")</f>
        <v/>
      </c>
    </row>
    <row r="449">
      <c r="A449" t="inlineStr">
        <is>
          <t>When Breath Becomes Air</t>
        </is>
      </c>
      <c r="B449" t="inlineStr">
        <is>
          <t>£39.36</t>
        </is>
      </c>
      <c r="C449">
        <f>HYPERLINK("https://books.toscrape.com/catalogue/when-breath-becomes-air_553/index.html","Open Link")</f>
        <v/>
      </c>
    </row>
    <row r="450">
      <c r="A450" t="inlineStr">
        <is>
          <t>Vagabonding: An Uncommon Guide ...</t>
        </is>
      </c>
      <c r="B450" t="inlineStr">
        <is>
          <t>£36.94</t>
        </is>
      </c>
      <c r="C450">
        <f>HYPERLINK("https://books.toscrape.com/catalogue/vagabonding-an-uncommon-guide-to-the-art-of-long-term-world-travel_552/index.html","Open Link")</f>
        <v/>
      </c>
    </row>
    <row r="451">
      <c r="A451" t="inlineStr">
        <is>
          <t>The Unlikely Pilgrimage of ...</t>
        </is>
      </c>
      <c r="B451" t="inlineStr">
        <is>
          <t>£43.62</t>
        </is>
      </c>
      <c r="C451">
        <f>HYPERLINK("https://books.toscrape.com/catalogue/the-unlikely-pilgrimage-of-harold-fry-harold-fry-1_551/index.html","Open Link")</f>
        <v/>
      </c>
    </row>
    <row r="452">
      <c r="A452" t="inlineStr">
        <is>
          <t>The New Drawing on ...</t>
        </is>
      </c>
      <c r="B452" t="inlineStr">
        <is>
          <t>£43.02</t>
        </is>
      </c>
      <c r="C452">
        <f>HYPERLINK("https://books.toscrape.com/catalogue/the-new-drawing-on-the-right-side-of-the-brain_550/index.html","Open Link")</f>
        <v/>
      </c>
    </row>
    <row r="453">
      <c r="A453" t="inlineStr">
        <is>
          <t>The Midnight Assassin: Panic, ...</t>
        </is>
      </c>
      <c r="B453" t="inlineStr">
        <is>
          <t>£28.45</t>
        </is>
      </c>
      <c r="C453">
        <f>HYPERLINK("https://books.toscrape.com/catalogue/the-midnight-assassin-panic-scandal-and-the-hunt-for-americas-first-serial-killer_549/index.html","Open Link")</f>
        <v/>
      </c>
    </row>
    <row r="454">
      <c r="A454" t="inlineStr">
        <is>
          <t>The Martian (The Martian ...</t>
        </is>
      </c>
      <c r="B454" t="inlineStr">
        <is>
          <t>£41.39</t>
        </is>
      </c>
      <c r="C454">
        <f>HYPERLINK("https://books.toscrape.com/catalogue/the-martian-the-martian-1_548/index.html","Open Link")</f>
        <v/>
      </c>
    </row>
    <row r="455">
      <c r="A455" t="inlineStr">
        <is>
          <t>The High Mountains of ...</t>
        </is>
      </c>
      <c r="B455" t="inlineStr">
        <is>
          <t>£51.15</t>
        </is>
      </c>
      <c r="C455">
        <f>HYPERLINK("https://books.toscrape.com/catalogue/the-high-mountains-of-portugal_547/index.html","Open Link")</f>
        <v/>
      </c>
    </row>
    <row r="456">
      <c r="A456" t="inlineStr">
        <is>
          <t>The Grownup</t>
        </is>
      </c>
      <c r="B456" t="inlineStr">
        <is>
          <t>£35.88</t>
        </is>
      </c>
      <c r="C456">
        <f>HYPERLINK("https://books.toscrape.com/catalogue/the-grownup_546/index.html","Open Link")</f>
        <v/>
      </c>
    </row>
    <row r="457">
      <c r="A457" t="inlineStr">
        <is>
          <t>The E-Myth Revisited: Why ...</t>
        </is>
      </c>
      <c r="B457" t="inlineStr">
        <is>
          <t>£36.91</t>
        </is>
      </c>
      <c r="C457">
        <f>HYPERLINK("https://books.toscrape.com/catalogue/the-e-myth-revisited-why-most-small-businesses-dont-work-and-what-to-do-about-it_545/index.html","Open Link")</f>
        <v/>
      </c>
    </row>
    <row r="458">
      <c r="A458" t="inlineStr">
        <is>
          <t>South of Sunshine</t>
        </is>
      </c>
      <c r="B458" t="inlineStr">
        <is>
          <t>£28.93</t>
        </is>
      </c>
      <c r="C458">
        <f>HYPERLINK("https://books.toscrape.com/catalogue/south-of-sunshine_544/index.html","Open Link")</f>
        <v/>
      </c>
    </row>
    <row r="459">
      <c r="A459" t="inlineStr">
        <is>
          <t>Smarter Faster Better: The ...</t>
        </is>
      </c>
      <c r="B459" t="inlineStr">
        <is>
          <t>£38.89</t>
        </is>
      </c>
      <c r="C459">
        <f>HYPERLINK("https://books.toscrape.com/catalogue/smarter-faster-better-the-secrets-of-being-productive-in-life-and-business_543/index.html","Open Link")</f>
        <v/>
      </c>
    </row>
    <row r="460">
      <c r="A460" t="inlineStr">
        <is>
          <t>Silence in the Dark ...</t>
        </is>
      </c>
      <c r="B460" t="inlineStr">
        <is>
          <t>£58.33</t>
        </is>
      </c>
      <c r="C460">
        <f>HYPERLINK("https://books.toscrape.com/catalogue/silence-in-the-dark-logan-point-4_542/index.html","Open Link")</f>
        <v/>
      </c>
    </row>
    <row r="461">
      <c r="A461" t="inlineStr">
        <is>
          <t>Shadows of the Past ...</t>
        </is>
      </c>
      <c r="B461" t="inlineStr">
        <is>
          <t>£39.67</t>
        </is>
      </c>
      <c r="C461">
        <f>HYPERLINK("https://books.toscrape.com/catalogue/shadows-of-the-past-logan-point-1_541/index.html","Open Link")</f>
        <v/>
      </c>
    </row>
    <row r="462">
      <c r="A462" t="inlineStr">
        <is>
          <t>Roller Girl</t>
        </is>
      </c>
      <c r="B462" t="inlineStr">
        <is>
          <t>£14.10</t>
        </is>
      </c>
      <c r="C462">
        <f>HYPERLINK("https://books.toscrape.com/catalogue/roller-girl_540/index.html","Open Link")</f>
        <v/>
      </c>
    </row>
    <row r="463">
      <c r="A463" t="inlineStr">
        <is>
          <t>Rising Strong</t>
        </is>
      </c>
      <c r="B463" t="inlineStr">
        <is>
          <t>£21.82</t>
        </is>
      </c>
      <c r="C463">
        <f>HYPERLINK("https://books.toscrape.com/catalogue/rising-strong_539/index.html","Open Link")</f>
        <v/>
      </c>
    </row>
    <row r="464">
      <c r="A464" t="inlineStr">
        <is>
          <t>Proofs of God: Classical ...</t>
        </is>
      </c>
      <c r="B464" t="inlineStr">
        <is>
          <t>£54.21</t>
        </is>
      </c>
      <c r="C464">
        <f>HYPERLINK("https://books.toscrape.com/catalogue/proofs-of-god-classical-arguments-from-tertullian-to-barth_538/index.html","Open Link")</f>
        <v/>
      </c>
    </row>
    <row r="465">
      <c r="A465" t="inlineStr">
        <is>
          <t>Please Kill Me: The ...</t>
        </is>
      </c>
      <c r="B465" t="inlineStr">
        <is>
          <t>£31.19</t>
        </is>
      </c>
      <c r="C465">
        <f>HYPERLINK("https://books.toscrape.com/catalogue/please-kill-me-the-uncensored-oral-history-of-punk_537/index.html","Open Link")</f>
        <v/>
      </c>
    </row>
    <row r="466">
      <c r="A466" t="inlineStr">
        <is>
          <t>Out of Print: City ...</t>
        </is>
      </c>
      <c r="B466" t="inlineStr">
        <is>
          <t>£53.64</t>
        </is>
      </c>
      <c r="C466">
        <f>HYPERLINK("https://books.toscrape.com/catalogue/out-of-print-city-lights-spotlight-no-14_536/index.html","Open Link")</f>
        <v/>
      </c>
    </row>
    <row r="467">
      <c r="A467" t="inlineStr">
        <is>
          <t>My Life Next Door ...</t>
        </is>
      </c>
      <c r="B467" t="inlineStr">
        <is>
          <t>£36.39</t>
        </is>
      </c>
      <c r="C467">
        <f>HYPERLINK("https://books.toscrape.com/catalogue/my-life-next-door-my-life-next-door_535/index.html","Open Link")</f>
        <v/>
      </c>
    </row>
    <row r="468">
      <c r="A468" t="inlineStr">
        <is>
          <t>Miller's Valley</t>
        </is>
      </c>
      <c r="B468" t="inlineStr">
        <is>
          <t>£58.54</t>
        </is>
      </c>
      <c r="C468">
        <f>HYPERLINK("https://books.toscrape.com/catalogue/millers-valley_534/index.html","Open Link")</f>
        <v/>
      </c>
    </row>
    <row r="469">
      <c r="A469" t="inlineStr">
        <is>
          <t>Man's Search for Meaning</t>
        </is>
      </c>
      <c r="B469" t="inlineStr">
        <is>
          <t>£29.48</t>
        </is>
      </c>
      <c r="C469">
        <f>HYPERLINK("https://books.toscrape.com/catalogue/mans-search-for-meaning_533/index.html","Open Link")</f>
        <v/>
      </c>
    </row>
    <row r="470">
      <c r="A470" t="inlineStr">
        <is>
          <t>Love That Boy: What ...</t>
        </is>
      </c>
      <c r="B470" t="inlineStr">
        <is>
          <t>£25.06</t>
        </is>
      </c>
      <c r="C470">
        <f>HYPERLINK("https://books.toscrape.com/catalogue/love-that-boy-what-two-presidents-eight-road-trips-and-my-son-taught-me-about-a-parents-expectations_532/index.html","Open Link")</f>
        <v/>
      </c>
    </row>
    <row r="471">
      <c r="A471" t="inlineStr">
        <is>
          <t>Living Forward: A Proven ...</t>
        </is>
      </c>
      <c r="B471" t="inlineStr">
        <is>
          <t>£12.55</t>
        </is>
      </c>
      <c r="C471">
        <f>HYPERLINK("https://books.toscrape.com/catalogue/living-forward-a-proven-plan-to-stop-drifting-and-get-the-life-you-want_531/index.html","Open Link")</f>
        <v/>
      </c>
    </row>
    <row r="472">
      <c r="A472" t="inlineStr">
        <is>
          <t>Les Fleurs du Mal</t>
        </is>
      </c>
      <c r="B472" t="inlineStr">
        <is>
          <t>£29.04</t>
        </is>
      </c>
      <c r="C472">
        <f>HYPERLINK("https://books.toscrape.com/catalogue/les-fleurs-du-mal_530/index.html","Open Link")</f>
        <v/>
      </c>
    </row>
    <row r="473">
      <c r="A473" t="inlineStr">
        <is>
          <t>Left Behind (Left Behind ...</t>
        </is>
      </c>
      <c r="B473" t="inlineStr">
        <is>
          <t>£40.72</t>
        </is>
      </c>
      <c r="C473">
        <f>HYPERLINK("https://books.toscrape.com/catalogue/left-behind-left-behind-1_529/index.html","Open Link")</f>
        <v/>
      </c>
    </row>
    <row r="474">
      <c r="A474" t="inlineStr">
        <is>
          <t>Kill 'Em and Leave: ...</t>
        </is>
      </c>
      <c r="B474" t="inlineStr">
        <is>
          <t>£45.05</t>
        </is>
      </c>
      <c r="C474">
        <f>HYPERLINK("https://books.toscrape.com/catalogue/kill-em-and-leave-searching-for-james-brown-and-the-american-soul_528/index.html","Open Link")</f>
        <v/>
      </c>
    </row>
    <row r="475">
      <c r="A475" t="inlineStr">
        <is>
          <t>Kierkegaard: A Christian Missionary ...</t>
        </is>
      </c>
      <c r="B475" t="inlineStr">
        <is>
          <t>£47.13</t>
        </is>
      </c>
      <c r="C475">
        <f>HYPERLINK("https://books.toscrape.com/catalogue/kierkegaard-a-christian-missionary-to-christians_527/index.html","Open Link")</f>
        <v/>
      </c>
    </row>
    <row r="476">
      <c r="A476" t="inlineStr">
        <is>
          <t>John Vassos: Industrial Design ...</t>
        </is>
      </c>
      <c r="B476" t="inlineStr">
        <is>
          <t>£20.22</t>
        </is>
      </c>
      <c r="C476">
        <f>HYPERLINK("https://books.toscrape.com/catalogue/john-vassos-industrial-design-for-modern-life_526/index.html","Open Link")</f>
        <v/>
      </c>
    </row>
    <row r="477">
      <c r="A477" t="inlineStr">
        <is>
          <t>I'll Give You the ...</t>
        </is>
      </c>
      <c r="B477" t="inlineStr">
        <is>
          <t>£56.48</t>
        </is>
      </c>
      <c r="C477">
        <f>HYPERLINK("https://books.toscrape.com/catalogue/ill-give-you-the-sun_525/index.html","Open Link")</f>
        <v/>
      </c>
    </row>
    <row r="478">
      <c r="A478" t="inlineStr">
        <is>
          <t>I Will Find You</t>
        </is>
      </c>
      <c r="B478" t="inlineStr">
        <is>
          <t>£44.21</t>
        </is>
      </c>
      <c r="C478">
        <f>HYPERLINK("https://books.toscrape.com/catalogue/i-will-find-you_524/index.html","Open Link")</f>
        <v/>
      </c>
    </row>
    <row r="479">
      <c r="A479" t="inlineStr">
        <is>
          <t>Hystopia: A Novel</t>
        </is>
      </c>
      <c r="B479" t="inlineStr">
        <is>
          <t>£21.96</t>
        </is>
      </c>
      <c r="C479">
        <f>HYPERLINK("https://books.toscrape.com/catalogue/hystopia-a-novel_523/index.html","Open Link")</f>
        <v/>
      </c>
    </row>
    <row r="480">
      <c r="A480" t="inlineStr">
        <is>
          <t>Howl and Other Poems</t>
        </is>
      </c>
      <c r="B480" t="inlineStr">
        <is>
          <t>£40.45</t>
        </is>
      </c>
      <c r="C480">
        <f>HYPERLINK("https://books.toscrape.com/catalogue/howl-and-other-poems_522/index.html","Open Link")</f>
        <v/>
      </c>
    </row>
    <row r="481">
      <c r="A481" t="inlineStr">
        <is>
          <t>History of Beauty</t>
        </is>
      </c>
      <c r="B481" t="inlineStr">
        <is>
          <t>£10.29</t>
        </is>
      </c>
      <c r="C481">
        <f>HYPERLINK("https://books.toscrape.com/catalogue/history-of-beauty_521/index.html","Open Link")</f>
        <v/>
      </c>
    </row>
    <row r="482">
      <c r="A482" t="inlineStr">
        <is>
          <t>Heaven is for Real: ...</t>
        </is>
      </c>
      <c r="B482" t="inlineStr">
        <is>
          <t>£52.86</t>
        </is>
      </c>
      <c r="C482">
        <f>HYPERLINK("https://books.toscrape.com/catalogue/heaven-is-for-real-a-little-boys-astounding-story-of-his-trip-to-heaven-and-back_520/index.html","Open Link")</f>
        <v/>
      </c>
    </row>
    <row r="483">
      <c r="A483" t="inlineStr">
        <is>
          <t>Future Shock (Future Shock ...</t>
        </is>
      </c>
      <c r="B483" t="inlineStr">
        <is>
          <t>£55.65</t>
        </is>
      </c>
      <c r="C483">
        <f>HYPERLINK("https://books.toscrape.com/catalogue/future-shock-future-shock-1_519/index.html","Open Link")</f>
        <v/>
      </c>
    </row>
    <row r="484">
      <c r="A484" t="inlineStr">
        <is>
          <t>Ender's Game (The Ender ...</t>
        </is>
      </c>
      <c r="B484" t="inlineStr">
        <is>
          <t>£43.64</t>
        </is>
      </c>
      <c r="C484">
        <f>HYPERLINK("https://books.toscrape.com/catalogue/enders-game-the-ender-quintet-1_518/index.html","Open Link")</f>
        <v/>
      </c>
    </row>
    <row r="485">
      <c r="A485" t="inlineStr">
        <is>
          <t>Diary of a Citizen ...</t>
        </is>
      </c>
      <c r="B485" t="inlineStr">
        <is>
          <t>£28.41</t>
        </is>
      </c>
      <c r="C485">
        <f>HYPERLINK("https://books.toscrape.com/catalogue/diary-of-a-citizen-scientist-chasing-tiger-beetles-and-other-new-ways-of-engaging-the-world_517/index.html","Open Link")</f>
        <v/>
      </c>
    </row>
    <row r="486">
      <c r="A486" t="inlineStr">
        <is>
          <t>Death by Leisure: A ...</t>
        </is>
      </c>
      <c r="B486" t="inlineStr">
        <is>
          <t>£37.51</t>
        </is>
      </c>
      <c r="C486">
        <f>HYPERLINK("https://books.toscrape.com/catalogue/death-by-leisure-a-cautionary-tale_516/index.html","Open Link")</f>
        <v/>
      </c>
    </row>
    <row r="487">
      <c r="A487" t="inlineStr">
        <is>
          <t>Brilliant Beacons: A History ...</t>
        </is>
      </c>
      <c r="B487" t="inlineStr">
        <is>
          <t>£11.45</t>
        </is>
      </c>
      <c r="C487">
        <f>HYPERLINK("https://books.toscrape.com/catalogue/brilliant-beacons-a-history-of-the-american-lighthouse_515/index.html","Open Link")</f>
        <v/>
      </c>
    </row>
    <row r="488">
      <c r="A488" t="inlineStr">
        <is>
          <t>Brazen: The Courage to ...</t>
        </is>
      </c>
      <c r="B488" t="inlineStr">
        <is>
          <t>£19.22</t>
        </is>
      </c>
      <c r="C488">
        <f>HYPERLINK("https://books.toscrape.com/catalogue/brazen-the-courage-to-find-the-you-thats-been-hiding_514/index.html","Open Link")</f>
        <v/>
      </c>
    </row>
    <row r="489">
      <c r="A489" t="inlineStr">
        <is>
          <t>Between the World and ...</t>
        </is>
      </c>
      <c r="B489" t="inlineStr">
        <is>
          <t>£56.91</t>
        </is>
      </c>
      <c r="C489">
        <f>HYPERLINK("https://books.toscrape.com/catalogue/between-the-world-and-me_513/index.html","Open Link")</f>
        <v/>
      </c>
    </row>
    <row r="490">
      <c r="A490" t="inlineStr">
        <is>
          <t>Being Mortal: Medicine and ...</t>
        </is>
      </c>
      <c r="B490" t="inlineStr">
        <is>
          <t>£55.06</t>
        </is>
      </c>
      <c r="C490">
        <f>HYPERLINK("https://books.toscrape.com/catalogue/being-mortal-medicine-and-what-matters-in-the-end_512/index.html","Open Link")</f>
        <v/>
      </c>
    </row>
    <row r="491">
      <c r="A491" t="inlineStr">
        <is>
          <t>A Murder Over a ...</t>
        </is>
      </c>
      <c r="B491" t="inlineStr">
        <is>
          <t>£13.20</t>
        </is>
      </c>
      <c r="C491">
        <f>HYPERLINK("https://books.toscrape.com/catalogue/a-murder-over-a-girl-justice-gender-junior-high_511/index.html","Open Link")</f>
        <v/>
      </c>
    </row>
    <row r="492">
      <c r="A492" t="inlineStr">
        <is>
          <t>32 Yolks</t>
        </is>
      </c>
      <c r="B492" t="inlineStr">
        <is>
          <t>£53.63</t>
        </is>
      </c>
      <c r="C492">
        <f>HYPERLINK("https://books.toscrape.com/catalogue/32-yolks_510/index.html","Open Link")</f>
        <v/>
      </c>
    </row>
    <row r="493">
      <c r="A493" t="inlineStr">
        <is>
          <t>"Most Blessed of the ...</t>
        </is>
      </c>
      <c r="B493" t="inlineStr">
        <is>
          <t>£44.48</t>
        </is>
      </c>
      <c r="C493">
        <f>HYPERLINK("https://books.toscrape.com/catalogue/most-blessed-of-the-patriarchs-thomas-jefferson-and-the-empire-of-the-imagination_509/index.html","Open Link")</f>
        <v/>
      </c>
    </row>
    <row r="494">
      <c r="A494" t="inlineStr">
        <is>
          <t>You Are a Badass: ...</t>
        </is>
      </c>
      <c r="B494" t="inlineStr">
        <is>
          <t>£12.08</t>
        </is>
      </c>
      <c r="C494">
        <f>HYPERLINK("https://books.toscrape.com/catalogue/you-are-a-badass-how-to-stop-doubting-your-greatness-and-start-living-an-awesome-life_508/index.html","Open Link")</f>
        <v/>
      </c>
    </row>
    <row r="495">
      <c r="A495" t="inlineStr">
        <is>
          <t>Wildlife of New York: ...</t>
        </is>
      </c>
      <c r="B495" t="inlineStr">
        <is>
          <t>£22.14</t>
        </is>
      </c>
      <c r="C495">
        <f>HYPERLINK("https://books.toscrape.com/catalogue/wildlife-of-new-york-a-five-borough-coloring-book_507/index.html","Open Link")</f>
        <v/>
      </c>
    </row>
    <row r="496">
      <c r="A496" t="inlineStr">
        <is>
          <t>What Happened on Beale ...</t>
        </is>
      </c>
      <c r="B496" t="inlineStr">
        <is>
          <t>£25.37</t>
        </is>
      </c>
      <c r="C496">
        <f>HYPERLINK("https://books.toscrape.com/catalogue/what-happened-on-beale-street-secrets-of-the-south-mysteries-2_506/index.html","Open Link")</f>
        <v/>
      </c>
    </row>
    <row r="497">
      <c r="A497" t="inlineStr">
        <is>
          <t>Unreasonable Hope: Finding Faith ...</t>
        </is>
      </c>
      <c r="B497" t="inlineStr">
        <is>
          <t>£46.33</t>
        </is>
      </c>
      <c r="C497">
        <f>HYPERLINK("https://books.toscrape.com/catalogue/unreasonable-hope-finding-faith-in-the-god-who-brings-purpose-to-your-pain_505/index.html","Open Link")</f>
        <v/>
      </c>
    </row>
    <row r="498">
      <c r="A498" t="inlineStr">
        <is>
          <t>Under the Tuscan Sun</t>
        </is>
      </c>
      <c r="B498" t="inlineStr">
        <is>
          <t>£37.33</t>
        </is>
      </c>
      <c r="C498">
        <f>HYPERLINK("https://books.toscrape.com/catalogue/under-the-tuscan-sun_504/index.html","Open Link")</f>
        <v/>
      </c>
    </row>
    <row r="499">
      <c r="A499" t="inlineStr">
        <is>
          <t>Toddlers Are A**holes: It's ...</t>
        </is>
      </c>
      <c r="B499" t="inlineStr">
        <is>
          <t>£25.55</t>
        </is>
      </c>
      <c r="C499">
        <f>HYPERLINK("https://books.toscrape.com/catalogue/toddlers-are-aholes-its-not-your-fault_503/index.html","Open Link")</f>
        <v/>
      </c>
    </row>
    <row r="500">
      <c r="A500" t="inlineStr">
        <is>
          <t>The Year of Living ...</t>
        </is>
      </c>
      <c r="B500" t="inlineStr">
        <is>
          <t>£34.72</t>
        </is>
      </c>
      <c r="C500">
        <f>HYPERLINK("https://books.toscrape.com/catalogue/the-year-of-living-biblically-one-mans-humble-quest-to-follow-the-bible-as-literally-as-possible_502/index.html","Open Link")</f>
        <v/>
      </c>
    </row>
    <row r="501">
      <c r="A501" t="inlineStr">
        <is>
          <t>The Whale</t>
        </is>
      </c>
      <c r="B501" t="inlineStr">
        <is>
          <t>£35.96</t>
        </is>
      </c>
      <c r="C501">
        <f>HYPERLINK("https://books.toscrape.com/catalogue/the-whale_501/index.html","Open Link")</f>
        <v/>
      </c>
    </row>
    <row r="502">
      <c r="A502" t="inlineStr">
        <is>
          <t>The Story of Art</t>
        </is>
      </c>
      <c r="B502" t="inlineStr">
        <is>
          <t>£41.14</t>
        </is>
      </c>
      <c r="C502">
        <f>HYPERLINK("https://books.toscrape.com/catalogue/the-story-of-art_500/index.html","Open Link")</f>
        <v/>
      </c>
    </row>
    <row r="503">
      <c r="A503" t="inlineStr">
        <is>
          <t>The Origin of Species</t>
        </is>
      </c>
      <c r="B503" t="inlineStr">
        <is>
          <t>£10.01</t>
        </is>
      </c>
      <c r="C503">
        <f>HYPERLINK("https://books.toscrape.com/catalogue/the-origin-of-species_499/index.html","Open Link")</f>
        <v/>
      </c>
    </row>
    <row r="504">
      <c r="A504" t="inlineStr">
        <is>
          <t>The Great Gatsby</t>
        </is>
      </c>
      <c r="B504" t="inlineStr">
        <is>
          <t>£36.05</t>
        </is>
      </c>
      <c r="C504">
        <f>HYPERLINK("https://books.toscrape.com/catalogue/the-great-gatsby_498/index.html","Open Link")</f>
        <v/>
      </c>
    </row>
    <row r="505">
      <c r="A505" t="inlineStr">
        <is>
          <t>The Good Girl</t>
        </is>
      </c>
      <c r="B505" t="inlineStr">
        <is>
          <t>£49.03</t>
        </is>
      </c>
      <c r="C505">
        <f>HYPERLINK("https://books.toscrape.com/catalogue/the-good-girl_497/index.html","Open Link")</f>
        <v/>
      </c>
    </row>
    <row r="506">
      <c r="A506" t="inlineStr">
        <is>
          <t>The Glass Castle</t>
        </is>
      </c>
      <c r="B506" t="inlineStr">
        <is>
          <t>£16.24</t>
        </is>
      </c>
      <c r="C506">
        <f>HYPERLINK("https://books.toscrape.com/catalogue/the-glass-castle_496/index.html","Open Link")</f>
        <v/>
      </c>
    </row>
    <row r="507">
      <c r="A507" t="inlineStr">
        <is>
          <t>The Faith of Christopher ...</t>
        </is>
      </c>
      <c r="B507" t="inlineStr">
        <is>
          <t>£39.55</t>
        </is>
      </c>
      <c r="C507">
        <f>HYPERLINK("https://books.toscrape.com/catalogue/the-faith-of-christopher-hitchens-the-restless-soul-of-the-worlds-most-notorious-atheist_495/index.html","Open Link")</f>
        <v/>
      </c>
    </row>
    <row r="508">
      <c r="A508" t="inlineStr">
        <is>
          <t>The Drowning Girls</t>
        </is>
      </c>
      <c r="B508" t="inlineStr">
        <is>
          <t>£35.67</t>
        </is>
      </c>
      <c r="C508">
        <f>HYPERLINK("https://books.toscrape.com/catalogue/the-drowning-girls_494/index.html","Open Link")</f>
        <v/>
      </c>
    </row>
    <row r="509">
      <c r="A509" t="inlineStr">
        <is>
          <t>The Constant Princess (The ...</t>
        </is>
      </c>
      <c r="B509" t="inlineStr">
        <is>
          <t>£16.62</t>
        </is>
      </c>
      <c r="C509">
        <f>HYPERLINK("https://books.toscrape.com/catalogue/the-constant-princess-the-tudor-court-1_493/index.html","Open Link")</f>
        <v/>
      </c>
    </row>
    <row r="510">
      <c r="A510" t="inlineStr">
        <is>
          <t>The Bourne Identity (Jason ...</t>
        </is>
      </c>
      <c r="B510" t="inlineStr">
        <is>
          <t>£42.78</t>
        </is>
      </c>
      <c r="C510">
        <f>HYPERLINK("https://books.toscrape.com/catalogue/the-bourne-identity-jason-bourne-1_492/index.html","Open Link")</f>
        <v/>
      </c>
    </row>
    <row r="511">
      <c r="A511" t="inlineStr">
        <is>
          <t>The Bachelor Girl's Guide ...</t>
        </is>
      </c>
      <c r="B511" t="inlineStr">
        <is>
          <t>£52.30</t>
        </is>
      </c>
      <c r="C511">
        <f>HYPERLINK("https://books.toscrape.com/catalogue/the-bachelor-girls-guide-to-murder-herringford-and-watts-mysteries-1_491/index.html","Open Link")</f>
        <v/>
      </c>
    </row>
    <row r="512">
      <c r="A512" t="inlineStr">
        <is>
          <t>The Art Book</t>
        </is>
      </c>
      <c r="B512" t="inlineStr">
        <is>
          <t>£32.34</t>
        </is>
      </c>
      <c r="C512">
        <f>HYPERLINK("https://books.toscrape.com/catalogue/the-art-book_490/index.html","Open Link")</f>
        <v/>
      </c>
    </row>
    <row r="513">
      <c r="A513" t="inlineStr">
        <is>
          <t>The 7 Habits of ...</t>
        </is>
      </c>
      <c r="B513" t="inlineStr">
        <is>
          <t>£33.17</t>
        </is>
      </c>
      <c r="C513">
        <f>HYPERLINK("https://books.toscrape.com/catalogue/the-7-habits-of-highly-effective-people-powerful-lessons-in-personal-change_489/index.html","Open Link")</f>
        <v/>
      </c>
    </row>
    <row r="514">
      <c r="A514" t="inlineStr">
        <is>
          <t>Team of Rivals: The ...</t>
        </is>
      </c>
      <c r="B514" t="inlineStr">
        <is>
          <t>£20.12</t>
        </is>
      </c>
      <c r="C514">
        <f>HYPERLINK("https://books.toscrape.com/catalogue/team-of-rivals-the-political-genius-of-abraham-lincoln_488/index.html","Open Link")</f>
        <v/>
      </c>
    </row>
    <row r="515">
      <c r="A515" t="inlineStr">
        <is>
          <t>Steal Like an Artist: ...</t>
        </is>
      </c>
      <c r="B515" t="inlineStr">
        <is>
          <t>£20.90</t>
        </is>
      </c>
      <c r="C515">
        <f>HYPERLINK("https://books.toscrape.com/catalogue/steal-like-an-artist-10-things-nobody-told-you-about-being-creative_487/index.html","Open Link")</f>
        <v/>
      </c>
    </row>
    <row r="516">
      <c r="A516" t="inlineStr">
        <is>
          <t>Sit, Stay, Love</t>
        </is>
      </c>
      <c r="B516" t="inlineStr">
        <is>
          <t>£20.90</t>
        </is>
      </c>
      <c r="C516">
        <f>HYPERLINK("https://books.toscrape.com/catalogue/sit-stay-love_486/index.html","Open Link")</f>
        <v/>
      </c>
    </row>
    <row r="517">
      <c r="A517" t="inlineStr">
        <is>
          <t>Sister Dear</t>
        </is>
      </c>
      <c r="B517" t="inlineStr">
        <is>
          <t>£40.20</t>
        </is>
      </c>
      <c r="C517">
        <f>HYPERLINK("https://books.toscrape.com/catalogue/sister-dear_485/index.html","Open Link")</f>
        <v/>
      </c>
    </row>
    <row r="518">
      <c r="A518" t="inlineStr">
        <is>
          <t>Shrunken Treasures: Literary Classics, ...</t>
        </is>
      </c>
      <c r="B518" t="inlineStr">
        <is>
          <t>£52.87</t>
        </is>
      </c>
      <c r="C518">
        <f>HYPERLINK("https://books.toscrape.com/catalogue/shrunken-treasures-literary-classics-short-sweet-and-silly_484/index.html","Open Link")</f>
        <v/>
      </c>
    </row>
    <row r="519">
      <c r="A519" t="inlineStr">
        <is>
          <t>Rich Dad, Poor Dad</t>
        </is>
      </c>
      <c r="B519" t="inlineStr">
        <is>
          <t>£51.74</t>
        </is>
      </c>
      <c r="C519">
        <f>HYPERLINK("https://books.toscrape.com/catalogue/rich-dad-poor-dad_483/index.html","Open Link")</f>
        <v/>
      </c>
    </row>
    <row r="520">
      <c r="A520" t="inlineStr">
        <is>
          <t>Raymie Nightingale</t>
        </is>
      </c>
      <c r="B520" t="inlineStr">
        <is>
          <t>£34.41</t>
        </is>
      </c>
      <c r="C520">
        <f>HYPERLINK("https://books.toscrape.com/catalogue/raymie-nightingale_482/index.html","Open Link")</f>
        <v/>
      </c>
    </row>
    <row r="521">
      <c r="A521" t="inlineStr">
        <is>
          <t>Playing from the Heart</t>
        </is>
      </c>
      <c r="B521" t="inlineStr">
        <is>
          <t>£32.38</t>
        </is>
      </c>
      <c r="C521">
        <f>HYPERLINK("https://books.toscrape.com/catalogue/playing-from-the-heart_481/index.html","Open Link")</f>
        <v/>
      </c>
    </row>
    <row r="522">
      <c r="A522" t="inlineStr">
        <is>
          <t>Nightstruck: A Novel</t>
        </is>
      </c>
      <c r="B522" t="inlineStr">
        <is>
          <t>£50.35</t>
        </is>
      </c>
      <c r="C522">
        <f>HYPERLINK("https://books.toscrape.com/catalogue/nightstruck-a-novel_480/index.html","Open Link")</f>
        <v/>
      </c>
    </row>
    <row r="523">
      <c r="A523" t="inlineStr">
        <is>
          <t>Naturally Lean: 125 Nourishing ...</t>
        </is>
      </c>
      <c r="B523" t="inlineStr">
        <is>
          <t>£11.38</t>
        </is>
      </c>
      <c r="C523">
        <f>HYPERLINK("https://books.toscrape.com/catalogue/naturally-lean-125-nourishing-gluten-free-plant-based-recipes-all-under-300-calories_479/index.html","Open Link")</f>
        <v/>
      </c>
    </row>
    <row r="524">
      <c r="A524" t="inlineStr">
        <is>
          <t>Meternity</t>
        </is>
      </c>
      <c r="B524" t="inlineStr">
        <is>
          <t>£43.58</t>
        </is>
      </c>
      <c r="C524">
        <f>HYPERLINK("https://books.toscrape.com/catalogue/meternity_478/index.html","Open Link")</f>
        <v/>
      </c>
    </row>
    <row r="525">
      <c r="A525" t="inlineStr">
        <is>
          <t>Memoirs of a Geisha</t>
        </is>
      </c>
      <c r="B525" t="inlineStr">
        <is>
          <t>£49.67</t>
        </is>
      </c>
      <c r="C525">
        <f>HYPERLINK("https://books.toscrape.com/catalogue/memoirs-of-a-geisha_477/index.html","Open Link")</f>
        <v/>
      </c>
    </row>
    <row r="526">
      <c r="A526" t="inlineStr">
        <is>
          <t>Like Never Before (Walker ...</t>
        </is>
      </c>
      <c r="B526" t="inlineStr">
        <is>
          <t>£28.77</t>
        </is>
      </c>
      <c r="C526">
        <f>HYPERLINK("https://books.toscrape.com/catalogue/like-never-before-walker-family-2_476/index.html","Open Link")</f>
        <v/>
      </c>
    </row>
    <row r="527">
      <c r="A527" t="inlineStr">
        <is>
          <t>Life of Pi</t>
        </is>
      </c>
      <c r="B527" t="inlineStr">
        <is>
          <t>£13.22</t>
        </is>
      </c>
      <c r="C527">
        <f>HYPERLINK("https://books.toscrape.com/catalogue/life-of-pi_475/index.html","Open Link")</f>
        <v/>
      </c>
    </row>
    <row r="528">
      <c r="A528" t="inlineStr">
        <is>
          <t>Leave This Song Behind: ...</t>
        </is>
      </c>
      <c r="B528" t="inlineStr">
        <is>
          <t>£51.17</t>
        </is>
      </c>
      <c r="C528">
        <f>HYPERLINK("https://books.toscrape.com/catalogue/leave-this-song-behind-teen-poetry-at-its-best_474/index.html","Open Link")</f>
        <v/>
      </c>
    </row>
    <row r="529">
      <c r="A529" t="inlineStr">
        <is>
          <t>King's Folly (The Kinsman ...</t>
        </is>
      </c>
      <c r="B529" t="inlineStr">
        <is>
          <t>£39.61</t>
        </is>
      </c>
      <c r="C529">
        <f>HYPERLINK("https://books.toscrape.com/catalogue/kings-folly-the-kinsman-chronicles-1_473/index.html","Open Link")</f>
        <v/>
      </c>
    </row>
    <row r="530">
      <c r="A530" t="inlineStr">
        <is>
          <t>John Adams</t>
        </is>
      </c>
      <c r="B530" t="inlineStr">
        <is>
          <t>£57.43</t>
        </is>
      </c>
      <c r="C530">
        <f>HYPERLINK("https://books.toscrape.com/catalogue/john-adams_472/index.html","Open Link")</f>
        <v/>
      </c>
    </row>
    <row r="531">
      <c r="A531" t="inlineStr">
        <is>
          <t>How to Cook Everything ...</t>
        </is>
      </c>
      <c r="B531" t="inlineStr">
        <is>
          <t>£46.01</t>
        </is>
      </c>
      <c r="C531">
        <f>HYPERLINK("https://books.toscrape.com/catalogue/how-to-cook-everything-vegetarian-simple-meatless-recipes-for-great-food-how-to-cook-everything_471/index.html","Open Link")</f>
        <v/>
      </c>
    </row>
    <row r="532">
      <c r="A532" t="inlineStr">
        <is>
          <t>How to Be a ...</t>
        </is>
      </c>
      <c r="B532" t="inlineStr">
        <is>
          <t>£28.25</t>
        </is>
      </c>
      <c r="C532">
        <f>HYPERLINK("https://books.toscrape.com/catalogue/how-to-be-a-domestic-goddess-baking-and-the-art-of-comfort-cooking_470/index.html","Open Link")</f>
        <v/>
      </c>
    </row>
    <row r="533">
      <c r="A533" t="inlineStr">
        <is>
          <t>Good in Bed (Cannie ...</t>
        </is>
      </c>
      <c r="B533" t="inlineStr">
        <is>
          <t>£37.05</t>
        </is>
      </c>
      <c r="C533">
        <f>HYPERLINK("https://books.toscrape.com/catalogue/good-in-bed-cannie-shapiro-1_469/index.html","Open Link")</f>
        <v/>
      </c>
    </row>
    <row r="534">
      <c r="A534" t="inlineStr">
        <is>
          <t>Fruits Basket, Vol. 7 ...</t>
        </is>
      </c>
      <c r="B534" t="inlineStr">
        <is>
          <t>£19.57</t>
        </is>
      </c>
      <c r="C534">
        <f>HYPERLINK("https://books.toscrape.com/catalogue/fruits-basket-vol-7-fruits-basket-7_468/index.html","Open Link")</f>
        <v/>
      </c>
    </row>
    <row r="535">
      <c r="A535" t="inlineStr">
        <is>
          <t>For the Love: Fighting ...</t>
        </is>
      </c>
      <c r="B535" t="inlineStr">
        <is>
          <t>£45.13</t>
        </is>
      </c>
      <c r="C535">
        <f>HYPERLINK("https://books.toscrape.com/catalogue/for-the-love-fighting-for-grace-in-a-world-of-impossible-standards_467/index.html","Open Link")</f>
        <v/>
      </c>
    </row>
    <row r="536">
      <c r="A536" t="inlineStr">
        <is>
          <t>Finding God in the ...</t>
        </is>
      </c>
      <c r="B536" t="inlineStr">
        <is>
          <t>£46.64</t>
        </is>
      </c>
      <c r="C536">
        <f>HYPERLINK("https://books.toscrape.com/catalogue/finding-god-in-the-ruins-how-god-redeems-pain_466/index.html","Open Link")</f>
        <v/>
      </c>
    </row>
    <row r="537">
      <c r="A537" t="inlineStr">
        <is>
          <t>Every Heart a Doorway ...</t>
        </is>
      </c>
      <c r="B537" t="inlineStr">
        <is>
          <t>£12.16</t>
        </is>
      </c>
      <c r="C537">
        <f>HYPERLINK("https://books.toscrape.com/catalogue/every-heart-a-doorway-every-heart-a-doorway-1_465/index.html","Open Link")</f>
        <v/>
      </c>
    </row>
    <row r="538">
      <c r="A538" t="inlineStr">
        <is>
          <t>Delivering the Truth (Quaker ...</t>
        </is>
      </c>
      <c r="B538" t="inlineStr">
        <is>
          <t>£20.89</t>
        </is>
      </c>
      <c r="C538">
        <f>HYPERLINK("https://books.toscrape.com/catalogue/delivering-the-truth-quaker-midwife-mystery-1_464/index.html","Open Link")</f>
        <v/>
      </c>
    </row>
    <row r="539">
      <c r="A539" t="inlineStr">
        <is>
          <t>Counted With the Stars ...</t>
        </is>
      </c>
      <c r="B539" t="inlineStr">
        <is>
          <t>£17.97</t>
        </is>
      </c>
      <c r="C539">
        <f>HYPERLINK("https://books.toscrape.com/catalogue/counted-with-the-stars-out-from-egypt-1_463/index.html","Open Link")</f>
        <v/>
      </c>
    </row>
    <row r="540">
      <c r="A540" t="inlineStr">
        <is>
          <t>Chronicles, Vol. 1</t>
        </is>
      </c>
      <c r="B540" t="inlineStr">
        <is>
          <t>£52.60</t>
        </is>
      </c>
      <c r="C540">
        <f>HYPERLINK("https://books.toscrape.com/catalogue/chronicles-vol-1_462/index.html","Open Link")</f>
        <v/>
      </c>
    </row>
    <row r="541">
      <c r="A541" t="inlineStr">
        <is>
          <t>Blue Like Jazz: Nonreligious ...</t>
        </is>
      </c>
      <c r="B541" t="inlineStr">
        <is>
          <t>£25.77</t>
        </is>
      </c>
      <c r="C541">
        <f>HYPERLINK("https://books.toscrape.com/catalogue/blue-like-jazz-nonreligious-thoughts-on-christian-spirituality_461/index.html","Open Link")</f>
        <v/>
      </c>
    </row>
    <row r="542">
      <c r="A542" t="inlineStr">
        <is>
          <t>Benjamin Franklin: An American ...</t>
        </is>
      </c>
      <c r="B542" t="inlineStr">
        <is>
          <t>£48.19</t>
        </is>
      </c>
      <c r="C542">
        <f>HYPERLINK("https://books.toscrape.com/catalogue/benjamin-franklin-an-american-life_460/index.html","Open Link")</f>
        <v/>
      </c>
    </row>
    <row r="543">
      <c r="A543" t="inlineStr">
        <is>
          <t>At The Existentialist Café: ...</t>
        </is>
      </c>
      <c r="B543" t="inlineStr">
        <is>
          <t>£29.93</t>
        </is>
      </c>
      <c r="C543">
        <f>HYPERLINK("https://books.toscrape.com/catalogue/at-the-existentialist-cafe-freedom-being-and-apricot-cocktails-with-jean-paul-sartre-simone-de-beauvoir-albert-camus-martin-heidegger-edmund-husserl-karl-jaspers-maurice-merleau-ponty-and-others_459/index.html","Open Link")</f>
        <v/>
      </c>
    </row>
    <row r="544">
      <c r="A544" t="inlineStr">
        <is>
          <t>A Summer In Europe</t>
        </is>
      </c>
      <c r="B544" t="inlineStr">
        <is>
          <t>£44.34</t>
        </is>
      </c>
      <c r="C544">
        <f>HYPERLINK("https://books.toscrape.com/catalogue/a-summer-in-europe_458/index.html","Open Link")</f>
        <v/>
      </c>
    </row>
    <row r="545">
      <c r="A545" t="inlineStr">
        <is>
          <t>A Short History of ...</t>
        </is>
      </c>
      <c r="B545" t="inlineStr">
        <is>
          <t>£52.40</t>
        </is>
      </c>
      <c r="C545">
        <f>HYPERLINK("https://books.toscrape.com/catalogue/a-short-history-of-nearly-everything_457/index.html","Open Link")</f>
        <v/>
      </c>
    </row>
    <row r="546">
      <c r="A546" t="inlineStr">
        <is>
          <t>A Gathering of Shadows ...</t>
        </is>
      </c>
      <c r="B546" t="inlineStr">
        <is>
          <t>£44.81</t>
        </is>
      </c>
      <c r="C546">
        <f>HYPERLINK("https://books.toscrape.com/catalogue/a-gathering-of-shadows-shades-of-magic-2_456/index.html","Open Link")</f>
        <v/>
      </c>
    </row>
    <row r="547">
      <c r="A547" t="inlineStr">
        <is>
          <t>The Sound Of Love</t>
        </is>
      </c>
      <c r="B547" t="inlineStr">
        <is>
          <t>£57.84</t>
        </is>
      </c>
      <c r="C547">
        <f>HYPERLINK("https://books.toscrape.com/catalogue/the-sound-of-love_455/index.html","Open Link")</f>
        <v/>
      </c>
    </row>
    <row r="548">
      <c r="A548" t="inlineStr">
        <is>
          <t>The Rise and Fall ...</t>
        </is>
      </c>
      <c r="B548" t="inlineStr">
        <is>
          <t>£39.67</t>
        </is>
      </c>
      <c r="C548">
        <f>HYPERLINK("https://books.toscrape.com/catalogue/the-rise-and-fall-of-the-third-reich-a-history-of-nazi-germany_454/index.html","Open Link")</f>
        <v/>
      </c>
    </row>
    <row r="549">
      <c r="A549" t="inlineStr">
        <is>
          <t>The Perks of Being ...</t>
        </is>
      </c>
      <c r="B549" t="inlineStr">
        <is>
          <t>£55.02</t>
        </is>
      </c>
      <c r="C549">
        <f>HYPERLINK("https://books.toscrape.com/catalogue/the-perks-of-being-a-wallflower_453/index.html","Open Link")</f>
        <v/>
      </c>
    </row>
    <row r="550">
      <c r="A550" t="inlineStr">
        <is>
          <t>The Mysterious Affair at ...</t>
        </is>
      </c>
      <c r="B550" t="inlineStr">
        <is>
          <t>£24.80</t>
        </is>
      </c>
      <c r="C550">
        <f>HYPERLINK("https://books.toscrape.com/catalogue/the-mysterious-affair-at-styles-hercule-poirot-1_452/index.html","Open Link")</f>
        <v/>
      </c>
    </row>
    <row r="551">
      <c r="A551" t="inlineStr">
        <is>
          <t>The Man Who Mistook ...</t>
        </is>
      </c>
      <c r="B551" t="inlineStr">
        <is>
          <t>£59.45</t>
        </is>
      </c>
      <c r="C551">
        <f>HYPERLINK("https://books.toscrape.com/catalogue/the-man-who-mistook-his-wife-for-a-hat-and-other-clinical-tales_451/index.html","Open Link")</f>
        <v/>
      </c>
    </row>
    <row r="552">
      <c r="A552" t="inlineStr">
        <is>
          <t>The Makings of a ...</t>
        </is>
      </c>
      <c r="B552" t="inlineStr">
        <is>
          <t>£31.58</t>
        </is>
      </c>
      <c r="C552">
        <f>HYPERLINK("https://books.toscrape.com/catalogue/the-makings-of-a-fatherless-child_450/index.html","Open Link")</f>
        <v/>
      </c>
    </row>
    <row r="553">
      <c r="A553" t="inlineStr">
        <is>
          <t>The Joy of Cooking</t>
        </is>
      </c>
      <c r="B553" t="inlineStr">
        <is>
          <t>£43.27</t>
        </is>
      </c>
      <c r="C553">
        <f>HYPERLINK("https://books.toscrape.com/catalogue/the-joy-of-cooking_449/index.html","Open Link")</f>
        <v/>
      </c>
    </row>
    <row r="554">
      <c r="A554" t="inlineStr">
        <is>
          <t>The Invention of Wings</t>
        </is>
      </c>
      <c r="B554" t="inlineStr">
        <is>
          <t>£37.34</t>
        </is>
      </c>
      <c r="C554">
        <f>HYPERLINK("https://books.toscrape.com/catalogue/the-invention-of-wings_448/index.html","Open Link")</f>
        <v/>
      </c>
    </row>
    <row r="555">
      <c r="A555" t="inlineStr">
        <is>
          <t>The Hobbit (Middle-Earth Universe)</t>
        </is>
      </c>
      <c r="B555" t="inlineStr">
        <is>
          <t>£17.80</t>
        </is>
      </c>
      <c r="C555">
        <f>HYPERLINK("https://books.toscrape.com/catalogue/the-hobbit-middle-earth-universe_447/index.html","Open Link")</f>
        <v/>
      </c>
    </row>
    <row r="556">
      <c r="A556" t="inlineStr">
        <is>
          <t>The Great Railway Bazaar</t>
        </is>
      </c>
      <c r="B556" t="inlineStr">
        <is>
          <t>£30.54</t>
        </is>
      </c>
      <c r="C556">
        <f>HYPERLINK("https://books.toscrape.com/catalogue/the-great-railway-bazaar_446/index.html","Open Link")</f>
        <v/>
      </c>
    </row>
    <row r="557">
      <c r="A557" t="inlineStr">
        <is>
          <t>The Golden Compass (His ...</t>
        </is>
      </c>
      <c r="B557" t="inlineStr">
        <is>
          <t>£18.77</t>
        </is>
      </c>
      <c r="C557">
        <f>HYPERLINK("https://books.toscrape.com/catalogue/the-golden-compass-his-dark-materials-1_445/index.html","Open Link")</f>
        <v/>
      </c>
    </row>
    <row r="558">
      <c r="A558" t="inlineStr">
        <is>
          <t>The God Delusion</t>
        </is>
      </c>
      <c r="B558" t="inlineStr">
        <is>
          <t>£46.85</t>
        </is>
      </c>
      <c r="C558">
        <f>HYPERLINK("https://books.toscrape.com/catalogue/the-god-delusion_444/index.html","Open Link")</f>
        <v/>
      </c>
    </row>
    <row r="559">
      <c r="A559" t="inlineStr">
        <is>
          <t>The Girl You Left ...</t>
        </is>
      </c>
      <c r="B559" t="inlineStr">
        <is>
          <t>£15.79</t>
        </is>
      </c>
      <c r="C559">
        <f>HYPERLINK("https://books.toscrape.com/catalogue/the-girl-you-left-behind-the-girl-you-left-behind-1_443/index.html","Open Link")</f>
        <v/>
      </c>
    </row>
    <row r="560">
      <c r="A560" t="inlineStr">
        <is>
          <t>The Fellowship of the ...</t>
        </is>
      </c>
      <c r="B560" t="inlineStr">
        <is>
          <t>£10.27</t>
        </is>
      </c>
      <c r="C560">
        <f>HYPERLINK("https://books.toscrape.com/catalogue/the-fellowship-of-the-ring-the-lord-of-the-rings-1_442/index.html","Open Link")</f>
        <v/>
      </c>
    </row>
    <row r="561">
      <c r="A561" t="inlineStr">
        <is>
          <t>The Collected Poems of ...</t>
        </is>
      </c>
      <c r="B561" t="inlineStr">
        <is>
          <t>£15.42</t>
        </is>
      </c>
      <c r="C561">
        <f>HYPERLINK("https://books.toscrape.com/catalogue/the-collected-poems-of-wb-yeats-the-collected-works-of-wb-yeats-1_441/index.html","Open Link")</f>
        <v/>
      </c>
    </row>
    <row r="562">
      <c r="A562" t="inlineStr">
        <is>
          <t>The Barefoot Contessa Cookbook</t>
        </is>
      </c>
      <c r="B562" t="inlineStr">
        <is>
          <t>£59.92</t>
        </is>
      </c>
      <c r="C562">
        <f>HYPERLINK("https://books.toscrape.com/catalogue/the-barefoot-contessa-cookbook_440/index.html","Open Link")</f>
        <v/>
      </c>
    </row>
    <row r="563">
      <c r="A563" t="inlineStr">
        <is>
          <t>Tell the Wolves I'm ...</t>
        </is>
      </c>
      <c r="B563" t="inlineStr">
        <is>
          <t>£50.96</t>
        </is>
      </c>
      <c r="C563">
        <f>HYPERLINK("https://books.toscrape.com/catalogue/tell-the-wolves-im-home_439/index.html","Open Link")</f>
        <v/>
      </c>
    </row>
    <row r="564">
      <c r="A564" t="inlineStr">
        <is>
          <t>Ship Leaves Harbor: Essays ...</t>
        </is>
      </c>
      <c r="B564" t="inlineStr">
        <is>
          <t>£30.60</t>
        </is>
      </c>
      <c r="C564">
        <f>HYPERLINK("https://books.toscrape.com/catalogue/ship-leaves-harbor-essays-on-travel-by-a-recovering-journeyman_438/index.html","Open Link")</f>
        <v/>
      </c>
    </row>
    <row r="565">
      <c r="A565" t="inlineStr">
        <is>
          <t>Pride and Prejudice</t>
        </is>
      </c>
      <c r="B565" t="inlineStr">
        <is>
          <t>£19.27</t>
        </is>
      </c>
      <c r="C565">
        <f>HYPERLINK("https://books.toscrape.com/catalogue/pride-and-prejudice_437/index.html","Open Link")</f>
        <v/>
      </c>
    </row>
    <row r="566">
      <c r="A566" t="inlineStr">
        <is>
          <t>Musicophilia: Tales of Music ...</t>
        </is>
      </c>
      <c r="B566" t="inlineStr">
        <is>
          <t>£46.58</t>
        </is>
      </c>
      <c r="C566">
        <f>HYPERLINK("https://books.toscrape.com/catalogue/musicophilia-tales-of-music-and-the-brain_436/index.html","Open Link")</f>
        <v/>
      </c>
    </row>
    <row r="567">
      <c r="A567" t="inlineStr">
        <is>
          <t>Mere Christianity</t>
        </is>
      </c>
      <c r="B567" t="inlineStr">
        <is>
          <t>£48.51</t>
        </is>
      </c>
      <c r="C567">
        <f>HYPERLINK("https://books.toscrape.com/catalogue/mere-christianity_435/index.html","Open Link")</f>
        <v/>
      </c>
    </row>
    <row r="568">
      <c r="A568" t="inlineStr">
        <is>
          <t>Me Before You (Me ...</t>
        </is>
      </c>
      <c r="B568" t="inlineStr">
        <is>
          <t>£19.02</t>
        </is>
      </c>
      <c r="C568">
        <f>HYPERLINK("https://books.toscrape.com/catalogue/me-before-you-me-before-you-1_434/index.html","Open Link")</f>
        <v/>
      </c>
    </row>
    <row r="569">
      <c r="A569" t="inlineStr">
        <is>
          <t>In the Woods (Dublin ...</t>
        </is>
      </c>
      <c r="B569" t="inlineStr">
        <is>
          <t>£38.38</t>
        </is>
      </c>
      <c r="C569">
        <f>HYPERLINK("https://books.toscrape.com/catalogue/in-the-woods-dublin-murder-squad-1_433/index.html","Open Link")</f>
        <v/>
      </c>
    </row>
    <row r="570">
      <c r="A570" t="inlineStr">
        <is>
          <t>In Cold Blood</t>
        </is>
      </c>
      <c r="B570" t="inlineStr">
        <is>
          <t>£49.98</t>
        </is>
      </c>
      <c r="C570">
        <f>HYPERLINK("https://books.toscrape.com/catalogue/in-cold-blood_432/index.html","Open Link")</f>
        <v/>
      </c>
    </row>
    <row r="571">
      <c r="A571" t="inlineStr">
        <is>
          <t>How to Stop Worrying ...</t>
        </is>
      </c>
      <c r="B571" t="inlineStr">
        <is>
          <t>£46.49</t>
        </is>
      </c>
      <c r="C571">
        <f>HYPERLINK("https://books.toscrape.com/catalogue/how-to-stop-worrying-and-start-living_431/index.html","Open Link")</f>
        <v/>
      </c>
    </row>
    <row r="572">
      <c r="A572" t="inlineStr">
        <is>
          <t>Give It Back</t>
        </is>
      </c>
      <c r="B572" t="inlineStr">
        <is>
          <t>£18.32</t>
        </is>
      </c>
      <c r="C572">
        <f>HYPERLINK("https://books.toscrape.com/catalogue/give-it-back_430/index.html","Open Link")</f>
        <v/>
      </c>
    </row>
    <row r="573">
      <c r="A573" t="inlineStr">
        <is>
          <t>Girl, Interrupted</t>
        </is>
      </c>
      <c r="B573" t="inlineStr">
        <is>
          <t>£42.14</t>
        </is>
      </c>
      <c r="C573">
        <f>HYPERLINK("https://books.toscrape.com/catalogue/girl-interrupted_429/index.html","Open Link")</f>
        <v/>
      </c>
    </row>
    <row r="574">
      <c r="A574" t="inlineStr">
        <is>
          <t>Fun Home: A Family ...</t>
        </is>
      </c>
      <c r="B574" t="inlineStr">
        <is>
          <t>£56.59</t>
        </is>
      </c>
      <c r="C574">
        <f>HYPERLINK("https://books.toscrape.com/catalogue/fun-home-a-family-tragicomic_428/index.html","Open Link")</f>
        <v/>
      </c>
    </row>
    <row r="575">
      <c r="A575" t="inlineStr">
        <is>
          <t>Fruits Basket, Vol. 6 ...</t>
        </is>
      </c>
      <c r="B575" t="inlineStr">
        <is>
          <t>£20.96</t>
        </is>
      </c>
      <c r="C575">
        <f>HYPERLINK("https://books.toscrape.com/catalogue/fruits-basket-vol-6-fruits-basket-6_427/index.html","Open Link")</f>
        <v/>
      </c>
    </row>
    <row r="576">
      <c r="A576" t="inlineStr">
        <is>
          <t>Deception Point</t>
        </is>
      </c>
      <c r="B576" t="inlineStr">
        <is>
          <t>£40.32</t>
        </is>
      </c>
      <c r="C576">
        <f>HYPERLINK("https://books.toscrape.com/catalogue/deception-point_426/index.html","Open Link")</f>
        <v/>
      </c>
    </row>
    <row r="577">
      <c r="A577" t="inlineStr">
        <is>
          <t>Death Note, Vol. 6: ...</t>
        </is>
      </c>
      <c r="B577" t="inlineStr">
        <is>
          <t>£36.39</t>
        </is>
      </c>
      <c r="C577">
        <f>HYPERLINK("https://books.toscrape.com/catalogue/death-note-vol-6-give-and-take-death-note-6_425/index.html","Open Link")</f>
        <v/>
      </c>
    </row>
    <row r="578">
      <c r="A578" t="inlineStr">
        <is>
          <t>Catherine the Great: Portrait ...</t>
        </is>
      </c>
      <c r="B578" t="inlineStr">
        <is>
          <t>£58.55</t>
        </is>
      </c>
      <c r="C578">
        <f>HYPERLINK("https://books.toscrape.com/catalogue/catherine-the-great-portrait-of-a-woman_424/index.html","Open Link")</f>
        <v/>
      </c>
    </row>
    <row r="579">
      <c r="A579" t="inlineStr">
        <is>
          <t>Better Homes and Gardens ...</t>
        </is>
      </c>
      <c r="B579" t="inlineStr">
        <is>
          <t>£39.61</t>
        </is>
      </c>
      <c r="C579">
        <f>HYPERLINK("https://books.toscrape.com/catalogue/better-homes-and-gardens-new-cook-book_423/index.html","Open Link")</f>
        <v/>
      </c>
    </row>
    <row r="580">
      <c r="A580" t="inlineStr">
        <is>
          <t>An Unquiet Mind: A ...</t>
        </is>
      </c>
      <c r="B580" t="inlineStr">
        <is>
          <t>£21.30</t>
        </is>
      </c>
      <c r="C580">
        <f>HYPERLINK("https://books.toscrape.com/catalogue/an-unquiet-mind-a-memoir-of-moods-and-madness_422/index.html","Open Link")</f>
        <v/>
      </c>
    </row>
    <row r="581">
      <c r="A581" t="inlineStr">
        <is>
          <t>A Year in Provence ...</t>
        </is>
      </c>
      <c r="B581" t="inlineStr">
        <is>
          <t>£56.88</t>
        </is>
      </c>
      <c r="C581">
        <f>HYPERLINK("https://books.toscrape.com/catalogue/a-year-in-provence-provence-1_421/index.html","Open Link")</f>
        <v/>
      </c>
    </row>
    <row r="582">
      <c r="A582" t="inlineStr">
        <is>
          <t>World Without End (The ...</t>
        </is>
      </c>
      <c r="B582" t="inlineStr">
        <is>
          <t>£32.97</t>
        </is>
      </c>
      <c r="C582">
        <f>HYPERLINK("https://books.toscrape.com/catalogue/world-without-end-the-pillars-of-the-earth-2_420/index.html","Open Link")</f>
        <v/>
      </c>
    </row>
    <row r="583">
      <c r="A583" t="inlineStr">
        <is>
          <t>Will Grayson, Will Grayson ...</t>
        </is>
      </c>
      <c r="B583" t="inlineStr">
        <is>
          <t>£47.31</t>
        </is>
      </c>
      <c r="C583">
        <f>HYPERLINK("https://books.toscrape.com/catalogue/will-grayson-will-grayson-will-grayson-will-grayson_419/index.html","Open Link")</f>
        <v/>
      </c>
    </row>
    <row r="584">
      <c r="A584" t="inlineStr">
        <is>
          <t>Why Save the Bankers?: ...</t>
        </is>
      </c>
      <c r="B584" t="inlineStr">
        <is>
          <t>£48.67</t>
        </is>
      </c>
      <c r="C584">
        <f>HYPERLINK("https://books.toscrape.com/catalogue/why-save-the-bankers-and-other-essays-on-our-economic-and-political-crisis_418/index.html","Open Link")</f>
        <v/>
      </c>
    </row>
    <row r="585">
      <c r="A585" t="inlineStr">
        <is>
          <t>Where She Went (If ...</t>
        </is>
      </c>
      <c r="B585" t="inlineStr">
        <is>
          <t>£41.73</t>
        </is>
      </c>
      <c r="C585">
        <f>HYPERLINK("https://books.toscrape.com/catalogue/where-she-went-if-i-stay-2_417/index.html","Open Link")</f>
        <v/>
      </c>
    </row>
    <row r="586">
      <c r="A586" t="inlineStr">
        <is>
          <t>What If?: Serious Scientific ...</t>
        </is>
      </c>
      <c r="B586" t="inlineStr">
        <is>
          <t>£53.68</t>
        </is>
      </c>
      <c r="C586">
        <f>HYPERLINK("https://books.toscrape.com/catalogue/what-if-serious-scientific-answers-to-absurd-hypothetical-questions_416/index.html","Open Link")</f>
        <v/>
      </c>
    </row>
    <row r="587">
      <c r="A587" t="inlineStr">
        <is>
          <t>Two Summers</t>
        </is>
      </c>
      <c r="B587" t="inlineStr">
        <is>
          <t>£14.64</t>
        </is>
      </c>
      <c r="C587">
        <f>HYPERLINK("https://books.toscrape.com/catalogue/two-summers_415/index.html","Open Link")</f>
        <v/>
      </c>
    </row>
    <row r="588">
      <c r="A588" t="inlineStr">
        <is>
          <t>This Is Your Brain ...</t>
        </is>
      </c>
      <c r="B588" t="inlineStr">
        <is>
          <t>£38.40</t>
        </is>
      </c>
      <c r="C588">
        <f>HYPERLINK("https://books.toscrape.com/catalogue/this-is-your-brain-on-music-the-science-of-a-human-obsession_414/index.html","Open Link")</f>
        <v/>
      </c>
    </row>
    <row r="589">
      <c r="A589" t="inlineStr">
        <is>
          <t>The Secret Garden</t>
        </is>
      </c>
      <c r="B589" t="inlineStr">
        <is>
          <t>£15.08</t>
        </is>
      </c>
      <c r="C589">
        <f>HYPERLINK("https://books.toscrape.com/catalogue/the-secret-garden_413/index.html","Open Link")</f>
        <v/>
      </c>
    </row>
    <row r="590">
      <c r="A590" t="inlineStr">
        <is>
          <t>The Raven King (The ...</t>
        </is>
      </c>
      <c r="B590" t="inlineStr">
        <is>
          <t>£30.57</t>
        </is>
      </c>
      <c r="C590">
        <f>HYPERLINK("https://books.toscrape.com/catalogue/the-raven-king-the-raven-cycle-4_412/index.html","Open Link")</f>
        <v/>
      </c>
    </row>
    <row r="591">
      <c r="A591" t="inlineStr">
        <is>
          <t>The Raven Boys (The ...</t>
        </is>
      </c>
      <c r="B591" t="inlineStr">
        <is>
          <t>£57.74</t>
        </is>
      </c>
      <c r="C591">
        <f>HYPERLINK("https://books.toscrape.com/catalogue/the-raven-boys-the-raven-cycle-1_411/index.html","Open Link")</f>
        <v/>
      </c>
    </row>
    <row r="592">
      <c r="A592" t="inlineStr">
        <is>
          <t>The Power Greens Cookbook: ...</t>
        </is>
      </c>
      <c r="B592" t="inlineStr">
        <is>
          <t>£11.05</t>
        </is>
      </c>
      <c r="C592">
        <f>HYPERLINK("https://books.toscrape.com/catalogue/the-power-greens-cookbook-140-delicious-superfood-recipes_410/index.html","Open Link")</f>
        <v/>
      </c>
    </row>
    <row r="593">
      <c r="A593" t="inlineStr">
        <is>
          <t>The Metamorphosis</t>
        </is>
      </c>
      <c r="B593" t="inlineStr">
        <is>
          <t>£28.58</t>
        </is>
      </c>
      <c r="C593">
        <f>HYPERLINK("https://books.toscrape.com/catalogue/the-metamorphosis_409/index.html","Open Link")</f>
        <v/>
      </c>
    </row>
    <row r="594">
      <c r="A594" t="inlineStr">
        <is>
          <t>The Mathews Men: Seven ...</t>
        </is>
      </c>
      <c r="B594" t="inlineStr">
        <is>
          <t>£42.91</t>
        </is>
      </c>
      <c r="C594">
        <f>HYPERLINK("https://books.toscrape.com/catalogue/the-mathews-men-seven-brothers-and-the-war-against-hitlers-u-boats_408/index.html","Open Link")</f>
        <v/>
      </c>
    </row>
    <row r="595">
      <c r="A595" t="inlineStr">
        <is>
          <t>The Little Paris Bookshop</t>
        </is>
      </c>
      <c r="B595" t="inlineStr">
        <is>
          <t>£24.73</t>
        </is>
      </c>
      <c r="C595">
        <f>HYPERLINK("https://books.toscrape.com/catalogue/the-little-paris-bookshop_407/index.html","Open Link")</f>
        <v/>
      </c>
    </row>
    <row r="596">
      <c r="A596" t="inlineStr">
        <is>
          <t>The Hiding Place</t>
        </is>
      </c>
      <c r="B596" t="inlineStr">
        <is>
          <t>£55.91</t>
        </is>
      </c>
      <c r="C596">
        <f>HYPERLINK("https://books.toscrape.com/catalogue/the-hiding-place_406/index.html","Open Link")</f>
        <v/>
      </c>
    </row>
    <row r="597">
      <c r="A597" t="inlineStr">
        <is>
          <t>The Grand Design</t>
        </is>
      </c>
      <c r="B597" t="inlineStr">
        <is>
          <t>£13.76</t>
        </is>
      </c>
      <c r="C597">
        <f>HYPERLINK("https://books.toscrape.com/catalogue/the-grand-design_405/index.html","Open Link")</f>
        <v/>
      </c>
    </row>
    <row r="598">
      <c r="A598" t="inlineStr">
        <is>
          <t>The Firm</t>
        </is>
      </c>
      <c r="B598" t="inlineStr">
        <is>
          <t>£45.56</t>
        </is>
      </c>
      <c r="C598">
        <f>HYPERLINK("https://books.toscrape.com/catalogue/the-firm_404/index.html","Open Link")</f>
        <v/>
      </c>
    </row>
    <row r="599">
      <c r="A599" t="inlineStr">
        <is>
          <t>The Fault in Our ...</t>
        </is>
      </c>
      <c r="B599" t="inlineStr">
        <is>
          <t>£47.22</t>
        </is>
      </c>
      <c r="C599">
        <f>HYPERLINK("https://books.toscrape.com/catalogue/the-fault-in-our-stars_403/index.html","Open Link")</f>
        <v/>
      </c>
    </row>
    <row r="600">
      <c r="A600" t="inlineStr">
        <is>
          <t>The False Prince (The ...</t>
        </is>
      </c>
      <c r="B600" t="inlineStr">
        <is>
          <t>£56.00</t>
        </is>
      </c>
      <c r="C600">
        <f>HYPERLINK("https://books.toscrape.com/catalogue/the-false-prince-the-ascendance-trilogy-1_402/index.html","Open Link")</f>
        <v/>
      </c>
    </row>
    <row r="601">
      <c r="A601" t="inlineStr">
        <is>
          <t>The Expatriates</t>
        </is>
      </c>
      <c r="B601" t="inlineStr">
        <is>
          <t>£44.58</t>
        </is>
      </c>
      <c r="C601">
        <f>HYPERLINK("https://books.toscrape.com/catalogue/the-expatriates_401/index.html","Open Link")</f>
        <v/>
      </c>
    </row>
    <row r="602">
      <c r="A602" t="inlineStr">
        <is>
          <t>The Dream Thieves (The ...</t>
        </is>
      </c>
      <c r="B602" t="inlineStr">
        <is>
          <t>£34.50</t>
        </is>
      </c>
      <c r="C602">
        <f>HYPERLINK("https://books.toscrape.com/catalogue/the-dream-thieves-the-raven-cycle-2_400/index.html","Open Link")</f>
        <v/>
      </c>
    </row>
    <row r="603">
      <c r="A603" t="inlineStr">
        <is>
          <t>The Darkest Corners</t>
        </is>
      </c>
      <c r="B603" t="inlineStr">
        <is>
          <t>£11.33</t>
        </is>
      </c>
      <c r="C603">
        <f>HYPERLINK("https://books.toscrape.com/catalogue/the-darkest-corners_399/index.html","Open Link")</f>
        <v/>
      </c>
    </row>
    <row r="604">
      <c r="A604" t="inlineStr">
        <is>
          <t>The Crossover</t>
        </is>
      </c>
      <c r="B604" t="inlineStr">
        <is>
          <t>£38.77</t>
        </is>
      </c>
      <c r="C604">
        <f>HYPERLINK("https://books.toscrape.com/catalogue/the-crossover_398/index.html","Open Link")</f>
        <v/>
      </c>
    </row>
    <row r="605">
      <c r="A605" t="inlineStr">
        <is>
          <t>The 5th Wave (The ...</t>
        </is>
      </c>
      <c r="B605" t="inlineStr">
        <is>
          <t>£11.83</t>
        </is>
      </c>
      <c r="C605">
        <f>HYPERLINK("https://books.toscrape.com/catalogue/the-5th-wave-the-5th-wave-1_397/index.html","Open Link")</f>
        <v/>
      </c>
    </row>
    <row r="606">
      <c r="A606" t="inlineStr">
        <is>
          <t>Tell the Wind and ...</t>
        </is>
      </c>
      <c r="B606" t="inlineStr">
        <is>
          <t>£45.51</t>
        </is>
      </c>
      <c r="C606">
        <f>HYPERLINK("https://books.toscrape.com/catalogue/tell-the-wind-and-fire_396/index.html","Open Link")</f>
        <v/>
      </c>
    </row>
    <row r="607">
      <c r="A607" t="inlineStr">
        <is>
          <t>Tell Me Three Things</t>
        </is>
      </c>
      <c r="B607" t="inlineStr">
        <is>
          <t>£41.81</t>
        </is>
      </c>
      <c r="C607">
        <f>HYPERLINK("https://books.toscrape.com/catalogue/tell-me-three-things_395/index.html","Open Link")</f>
        <v/>
      </c>
    </row>
    <row r="608">
      <c r="A608" t="inlineStr">
        <is>
          <t>Talking to Girls About ...</t>
        </is>
      </c>
      <c r="B608" t="inlineStr">
        <is>
          <t>£25.15</t>
        </is>
      </c>
      <c r="C608">
        <f>HYPERLINK("https://books.toscrape.com/catalogue/talking-to-girls-about-duran-duran-one-young-mans-quest-for-true-love-and-a-cooler-haircut_394/index.html","Open Link")</f>
        <v/>
      </c>
    </row>
    <row r="609">
      <c r="A609" t="inlineStr">
        <is>
          <t>Siddhartha</t>
        </is>
      </c>
      <c r="B609" t="inlineStr">
        <is>
          <t>£34.22</t>
        </is>
      </c>
      <c r="C609">
        <f>HYPERLINK("https://books.toscrape.com/catalogue/siddhartha_393/index.html","Open Link")</f>
        <v/>
      </c>
    </row>
    <row r="610">
      <c r="A610" t="inlineStr">
        <is>
          <t>Shiver (The Wolves of ...</t>
        </is>
      </c>
      <c r="B610" t="inlineStr">
        <is>
          <t>£16.23</t>
        </is>
      </c>
      <c r="C610">
        <f>HYPERLINK("https://books.toscrape.com/catalogue/shiver-the-wolves-of-mercy-falls-1_392/index.html","Open Link")</f>
        <v/>
      </c>
    </row>
    <row r="611">
      <c r="A611" t="inlineStr">
        <is>
          <t>Remember Me?</t>
        </is>
      </c>
      <c r="B611" t="inlineStr">
        <is>
          <t>£11.48</t>
        </is>
      </c>
      <c r="C611">
        <f>HYPERLINK("https://books.toscrape.com/catalogue/remember-me_391/index.html","Open Link")</f>
        <v/>
      </c>
    </row>
    <row r="612">
      <c r="A612" t="inlineStr">
        <is>
          <t>Red Dragon (Hannibal Lecter ...</t>
        </is>
      </c>
      <c r="B612" t="inlineStr">
        <is>
          <t>£23.37</t>
        </is>
      </c>
      <c r="C612">
        <f>HYPERLINK("https://books.toscrape.com/catalogue/red-dragon-hannibal-lecter-1_390/index.html","Open Link")</f>
        <v/>
      </c>
    </row>
    <row r="613">
      <c r="A613" t="inlineStr">
        <is>
          <t>Peak: Secrets from the ...</t>
        </is>
      </c>
      <c r="B613" t="inlineStr">
        <is>
          <t>£16.28</t>
        </is>
      </c>
      <c r="C613">
        <f>HYPERLINK("https://books.toscrape.com/catalogue/peak-secrets-from-the-new-science-of-expertise_389/index.html","Open Link")</f>
        <v/>
      </c>
    </row>
    <row r="614">
      <c r="A614" t="inlineStr">
        <is>
          <t>My Mother Was Nuts</t>
        </is>
      </c>
      <c r="B614" t="inlineStr">
        <is>
          <t>£31.63</t>
        </is>
      </c>
      <c r="C614">
        <f>HYPERLINK("https://books.toscrape.com/catalogue/my-mother-was-nuts_388/index.html","Open Link")</f>
        <v/>
      </c>
    </row>
    <row r="615">
      <c r="A615" t="inlineStr">
        <is>
          <t>Mexican Today: New and ...</t>
        </is>
      </c>
      <c r="B615" t="inlineStr">
        <is>
          <t>£24.91</t>
        </is>
      </c>
      <c r="C615">
        <f>HYPERLINK("https://books.toscrape.com/catalogue/mexican-today-new-and-rediscovered-recipes-for-contemporary-kitchens_387/index.html","Open Link")</f>
        <v/>
      </c>
    </row>
    <row r="616">
      <c r="A616" t="inlineStr">
        <is>
          <t>Maybe Something Beautiful: How ...</t>
        </is>
      </c>
      <c r="B616" t="inlineStr">
        <is>
          <t>£22.54</t>
        </is>
      </c>
      <c r="C616">
        <f>HYPERLINK("https://books.toscrape.com/catalogue/maybe-something-beautiful-how-art-transformed-a-neighborhood_386/index.html","Open Link")</f>
        <v/>
      </c>
    </row>
    <row r="617">
      <c r="A617" t="inlineStr">
        <is>
          <t>Lola and the Boy ...</t>
        </is>
      </c>
      <c r="B617" t="inlineStr">
        <is>
          <t>£23.63</t>
        </is>
      </c>
      <c r="C617">
        <f>HYPERLINK("https://books.toscrape.com/catalogue/lola-and-the-boy-next-door-anna-and-the-french-kiss-2_385/index.html","Open Link")</f>
        <v/>
      </c>
    </row>
    <row r="618">
      <c r="A618" t="inlineStr">
        <is>
          <t>Logan Kade (Fallen Crest ...</t>
        </is>
      </c>
      <c r="B618" t="inlineStr">
        <is>
          <t>£13.12</t>
        </is>
      </c>
      <c r="C618">
        <f>HYPERLINK("https://books.toscrape.com/catalogue/logan-kade-fallen-crest-high-55_384/index.html","Open Link")</f>
        <v/>
      </c>
    </row>
    <row r="619">
      <c r="A619" t="inlineStr">
        <is>
          <t>Last One Home (New ...</t>
        </is>
      </c>
      <c r="B619" t="inlineStr">
        <is>
          <t>£59.98</t>
        </is>
      </c>
      <c r="C619">
        <f>HYPERLINK("https://books.toscrape.com/catalogue/last-one-home-new-beginnings-1_383/index.html","Open Link")</f>
        <v/>
      </c>
    </row>
    <row r="620">
      <c r="A620" t="inlineStr">
        <is>
          <t>Killing Floor (Jack Reacher ...</t>
        </is>
      </c>
      <c r="B620" t="inlineStr">
        <is>
          <t>£31.49</t>
        </is>
      </c>
      <c r="C620">
        <f>HYPERLINK("https://books.toscrape.com/catalogue/killing-floor-jack-reacher-1_382/index.html","Open Link")</f>
        <v/>
      </c>
    </row>
    <row r="621">
      <c r="A621" t="inlineStr">
        <is>
          <t>Kill the Boy Band</t>
        </is>
      </c>
      <c r="B621" t="inlineStr">
        <is>
          <t>£15.52</t>
        </is>
      </c>
      <c r="C621">
        <f>HYPERLINK("https://books.toscrape.com/catalogue/kill-the-boy-band_381/index.html","Open Link")</f>
        <v/>
      </c>
    </row>
    <row r="622">
      <c r="A622" t="inlineStr">
        <is>
          <t>Isla and the Happily ...</t>
        </is>
      </c>
      <c r="B622" t="inlineStr">
        <is>
          <t>£48.13</t>
        </is>
      </c>
      <c r="C622">
        <f>HYPERLINK("https://books.toscrape.com/catalogue/isla-and-the-happily-ever-after-anna-and-the-french-kiss-3_380/index.html","Open Link")</f>
        <v/>
      </c>
    </row>
    <row r="623">
      <c r="A623" t="inlineStr">
        <is>
          <t>If I Stay (If ...</t>
        </is>
      </c>
      <c r="B623" t="inlineStr">
        <is>
          <t>£38.13</t>
        </is>
      </c>
      <c r="C623">
        <f>HYPERLINK("https://books.toscrape.com/catalogue/if-i-stay-if-i-stay-1_379/index.html","Open Link")</f>
        <v/>
      </c>
    </row>
    <row r="624">
      <c r="A624" t="inlineStr">
        <is>
          <t>I Know Why the ...</t>
        </is>
      </c>
      <c r="B624" t="inlineStr">
        <is>
          <t>£36.55</t>
        </is>
      </c>
      <c r="C624">
        <f>HYPERLINK("https://books.toscrape.com/catalogue/i-know-why-the-caged-bird-sings-maya-angelous-autobiography-1_378/index.html","Open Link")</f>
        <v/>
      </c>
    </row>
    <row r="625">
      <c r="A625" t="inlineStr">
        <is>
          <t>Harry Potter and the ...</t>
        </is>
      </c>
      <c r="B625" t="inlineStr">
        <is>
          <t>£23.32</t>
        </is>
      </c>
      <c r="C625">
        <f>HYPERLINK("https://books.toscrape.com/catalogue/harry-potter-and-the-deathly-hallows-harry-potter-7_377/index.html","Open Link")</f>
        <v/>
      </c>
    </row>
    <row r="626">
      <c r="A626" t="inlineStr">
        <is>
          <t>Fruits Basket, Vol. 5 ...</t>
        </is>
      </c>
      <c r="B626" t="inlineStr">
        <is>
          <t>£16.33</t>
        </is>
      </c>
      <c r="C626">
        <f>HYPERLINK("https://books.toscrape.com/catalogue/fruits-basket-vol-5-fruits-basket-5_376/index.html","Open Link")</f>
        <v/>
      </c>
    </row>
    <row r="627">
      <c r="A627" t="inlineStr">
        <is>
          <t>Foundation (Foundation (Publication Order) ...</t>
        </is>
      </c>
      <c r="B627" t="inlineStr">
        <is>
          <t>£32.42</t>
        </is>
      </c>
      <c r="C627">
        <f>HYPERLINK("https://books.toscrape.com/catalogue/foundation-foundation-publication-order-1_375/index.html","Open Link")</f>
        <v/>
      </c>
    </row>
    <row r="628">
      <c r="A628" t="inlineStr">
        <is>
          <t>Fool Me Once</t>
        </is>
      </c>
      <c r="B628" t="inlineStr">
        <is>
          <t>£16.96</t>
        </is>
      </c>
      <c r="C628">
        <f>HYPERLINK("https://books.toscrape.com/catalogue/fool-me-once_374/index.html","Open Link")</f>
        <v/>
      </c>
    </row>
    <row r="629">
      <c r="A629" t="inlineStr">
        <is>
          <t>Find Her (Detective D.D. ...</t>
        </is>
      </c>
      <c r="B629" t="inlineStr">
        <is>
          <t>£22.37</t>
        </is>
      </c>
      <c r="C629">
        <f>HYPERLINK("https://books.toscrape.com/catalogue/find-her-detective-dd-warren-8_373/index.html","Open Link")</f>
        <v/>
      </c>
    </row>
    <row r="630">
      <c r="A630" t="inlineStr">
        <is>
          <t>Evicted: Poverty and Profit ...</t>
        </is>
      </c>
      <c r="B630" t="inlineStr">
        <is>
          <t>£42.27</t>
        </is>
      </c>
      <c r="C630">
        <f>HYPERLINK("https://books.toscrape.com/catalogue/evicted-poverty-and-profit-in-the-american-city_372/index.html","Open Link")</f>
        <v/>
      </c>
    </row>
    <row r="631">
      <c r="A631" t="inlineStr">
        <is>
          <t>Drama</t>
        </is>
      </c>
      <c r="B631" t="inlineStr">
        <is>
          <t>£38.70</t>
        </is>
      </c>
      <c r="C631">
        <f>HYPERLINK("https://books.toscrape.com/catalogue/drama_371/index.html","Open Link")</f>
        <v/>
      </c>
    </row>
    <row r="632">
      <c r="A632" t="inlineStr">
        <is>
          <t>Dracula the Un-Dead</t>
        </is>
      </c>
      <c r="B632" t="inlineStr">
        <is>
          <t>£35.63</t>
        </is>
      </c>
      <c r="C632">
        <f>HYPERLINK("https://books.toscrape.com/catalogue/dracula-the-un-dead_370/index.html","Open Link")</f>
        <v/>
      </c>
    </row>
    <row r="633">
      <c r="A633" t="inlineStr">
        <is>
          <t>Digital Fortress</t>
        </is>
      </c>
      <c r="B633" t="inlineStr">
        <is>
          <t>£58.00</t>
        </is>
      </c>
      <c r="C633">
        <f>HYPERLINK("https://books.toscrape.com/catalogue/digital-fortress_369/index.html","Open Link")</f>
        <v/>
      </c>
    </row>
    <row r="634">
      <c r="A634" t="inlineStr">
        <is>
          <t>Death Note, Vol. 5: ...</t>
        </is>
      </c>
      <c r="B634" t="inlineStr">
        <is>
          <t>£52.41</t>
        </is>
      </c>
      <c r="C634">
        <f>HYPERLINK("https://books.toscrape.com/catalogue/death-note-vol-5-whiteout-death-note-5_368/index.html","Open Link")</f>
        <v/>
      </c>
    </row>
    <row r="635">
      <c r="A635" t="inlineStr">
        <is>
          <t>Data, A Love Story: ...</t>
        </is>
      </c>
      <c r="B635" t="inlineStr">
        <is>
          <t>£32.35</t>
        </is>
      </c>
      <c r="C635">
        <f>HYPERLINK("https://books.toscrape.com/catalogue/data-a-love-story-how-i-gamed-online-dating-to-meet-my-match_367/index.html","Open Link")</f>
        <v/>
      </c>
    </row>
    <row r="636">
      <c r="A636" t="inlineStr">
        <is>
          <t>Critique of Pure Reason</t>
        </is>
      </c>
      <c r="B636" t="inlineStr">
        <is>
          <t>£20.75</t>
        </is>
      </c>
      <c r="C636">
        <f>HYPERLINK("https://books.toscrape.com/catalogue/critique-of-pure-reason_366/index.html","Open Link")</f>
        <v/>
      </c>
    </row>
    <row r="637">
      <c r="A637" t="inlineStr">
        <is>
          <t>Booked</t>
        </is>
      </c>
      <c r="B637" t="inlineStr">
        <is>
          <t>£17.49</t>
        </is>
      </c>
      <c r="C637">
        <f>HYPERLINK("https://books.toscrape.com/catalogue/booked_365/index.html","Open Link")</f>
        <v/>
      </c>
    </row>
    <row r="638">
      <c r="A638" t="inlineStr">
        <is>
          <t>Blue Lily, Lily Blue ...</t>
        </is>
      </c>
      <c r="B638" t="inlineStr">
        <is>
          <t>£34.13</t>
        </is>
      </c>
      <c r="C638">
        <f>HYPERLINK("https://books.toscrape.com/catalogue/blue-lily-lily-blue-the-raven-cycle-3_364/index.html","Open Link")</f>
        <v/>
      </c>
    </row>
    <row r="639">
      <c r="A639" t="inlineStr">
        <is>
          <t>Approval Junkie: Adventures in ...</t>
        </is>
      </c>
      <c r="B639" t="inlineStr">
        <is>
          <t>£58.81</t>
        </is>
      </c>
      <c r="C639">
        <f>HYPERLINK("https://books.toscrape.com/catalogue/approval-junkie-adventures-in-caring-too-much_363/index.html","Open Link")</f>
        <v/>
      </c>
    </row>
    <row r="640">
      <c r="A640" t="inlineStr">
        <is>
          <t>An Abundance of Katherines</t>
        </is>
      </c>
      <c r="B640" t="inlineStr">
        <is>
          <t>£10.00</t>
        </is>
      </c>
      <c r="C640">
        <f>HYPERLINK("https://books.toscrape.com/catalogue/an-abundance-of-katherines_362/index.html","Open Link")</f>
        <v/>
      </c>
    </row>
    <row r="641">
      <c r="A641" t="inlineStr">
        <is>
          <t>America's War for the ...</t>
        </is>
      </c>
      <c r="B641" t="inlineStr">
        <is>
          <t>£51.22</t>
        </is>
      </c>
      <c r="C641">
        <f>HYPERLINK("https://books.toscrape.com/catalogue/americas-war-for-the-greater-middle-east-a-military-history_361/index.html","Open Link")</f>
        <v/>
      </c>
    </row>
    <row r="642">
      <c r="A642" t="inlineStr">
        <is>
          <t>Alight (The Generations Trilogy ...</t>
        </is>
      </c>
      <c r="B642" t="inlineStr">
        <is>
          <t>£58.59</t>
        </is>
      </c>
      <c r="C642">
        <f>HYPERLINK("https://books.toscrape.com/catalogue/alight-the-generations-trilogy-2_360/index.html","Open Link")</f>
        <v/>
      </c>
    </row>
    <row r="643">
      <c r="A643" t="inlineStr">
        <is>
          <t>A Girl's Guide to ...</t>
        </is>
      </c>
      <c r="B643" t="inlineStr">
        <is>
          <t>£31.30</t>
        </is>
      </c>
      <c r="C643">
        <f>HYPERLINK("https://books.toscrape.com/catalogue/a-girls-guide-to-moving-on-new-beginnings-2_359/index.html","Open Link")</f>
        <v/>
      </c>
    </row>
    <row r="644">
      <c r="A644" t="inlineStr">
        <is>
          <t>A Game of Thrones ...</t>
        </is>
      </c>
      <c r="B644" t="inlineStr">
        <is>
          <t>£46.42</t>
        </is>
      </c>
      <c r="C644">
        <f>HYPERLINK("https://books.toscrape.com/catalogue/a-game-of-thrones-a-song-of-ice-and-fire-1_358/index.html","Open Link")</f>
        <v/>
      </c>
    </row>
    <row r="645">
      <c r="A645" t="inlineStr">
        <is>
          <t>A Feast for Crows ...</t>
        </is>
      </c>
      <c r="B645" t="inlineStr">
        <is>
          <t>£17.21</t>
        </is>
      </c>
      <c r="C645">
        <f>HYPERLINK("https://books.toscrape.com/catalogue/a-feast-for-crows-a-song-of-ice-and-fire-4_357/index.html","Open Link")</f>
        <v/>
      </c>
    </row>
    <row r="646">
      <c r="A646" t="inlineStr">
        <is>
          <t>A Clash of Kings ...</t>
        </is>
      </c>
      <c r="B646" t="inlineStr">
        <is>
          <t>£10.79</t>
        </is>
      </c>
      <c r="C646">
        <f>HYPERLINK("https://books.toscrape.com/catalogue/a-clash-of-kings-a-song-of-ice-and-fire-2_356/index.html","Open Link")</f>
        <v/>
      </c>
    </row>
    <row r="647">
      <c r="A647" t="inlineStr">
        <is>
          <t>Vogue Colors A to ...</t>
        </is>
      </c>
      <c r="B647" t="inlineStr">
        <is>
          <t>£52.35</t>
        </is>
      </c>
      <c r="C647">
        <f>HYPERLINK("https://books.toscrape.com/catalogue/vogue-colors-a-to-z-a-fashion-coloring-book_355/index.html","Open Link")</f>
        <v/>
      </c>
    </row>
    <row r="648">
      <c r="A648" t="inlineStr">
        <is>
          <t>The Shining (The Shining ...</t>
        </is>
      </c>
      <c r="B648" t="inlineStr">
        <is>
          <t>£27.88</t>
        </is>
      </c>
      <c r="C648">
        <f>HYPERLINK("https://books.toscrape.com/catalogue/the-shining-the-shining-1_354/index.html","Open Link")</f>
        <v/>
      </c>
    </row>
    <row r="649">
      <c r="A649" t="inlineStr">
        <is>
          <t>The Pilgrim's Progress</t>
        </is>
      </c>
      <c r="B649" t="inlineStr">
        <is>
          <t>£50.26</t>
        </is>
      </c>
      <c r="C649">
        <f>HYPERLINK("https://books.toscrape.com/catalogue/the-pilgrims-progress_353/index.html","Open Link")</f>
        <v/>
      </c>
    </row>
    <row r="650">
      <c r="A650" t="inlineStr">
        <is>
          <t>The Perfect Play (Play ...</t>
        </is>
      </c>
      <c r="B650" t="inlineStr">
        <is>
          <t>£59.99</t>
        </is>
      </c>
      <c r="C650">
        <f>HYPERLINK("https://books.toscrape.com/catalogue/the-perfect-play-play-by-play-1_352/index.html","Open Link")</f>
        <v/>
      </c>
    </row>
    <row r="651">
      <c r="A651" t="inlineStr">
        <is>
          <t>The Passion of Dolssa</t>
        </is>
      </c>
      <c r="B651" t="inlineStr">
        <is>
          <t>£28.32</t>
        </is>
      </c>
      <c r="C651">
        <f>HYPERLINK("https://books.toscrape.com/catalogue/the-passion-of-dolssa_351/index.html","Open Link")</f>
        <v/>
      </c>
    </row>
    <row r="652">
      <c r="A652" t="inlineStr">
        <is>
          <t>The Jazz of Physics: ...</t>
        </is>
      </c>
      <c r="B652" t="inlineStr">
        <is>
          <t>£38.71</t>
        </is>
      </c>
      <c r="C652">
        <f>HYPERLINK("https://books.toscrape.com/catalogue/the-jazz-of-physics-the-secret-link-between-music-and-the-structure-of-the-universe_350/index.html","Open Link")</f>
        <v/>
      </c>
    </row>
    <row r="653">
      <c r="A653" t="inlineStr">
        <is>
          <t>The Hunger Games (The ...</t>
        </is>
      </c>
      <c r="B653" t="inlineStr">
        <is>
          <t>£29.85</t>
        </is>
      </c>
      <c r="C653">
        <f>HYPERLINK("https://books.toscrape.com/catalogue/the-hunger-games-the-hunger-games-1_349/index.html","Open Link")</f>
        <v/>
      </c>
    </row>
    <row r="654">
      <c r="A654" t="inlineStr">
        <is>
          <t>The Hound of the ...</t>
        </is>
      </c>
      <c r="B654" t="inlineStr">
        <is>
          <t>£14.82</t>
        </is>
      </c>
      <c r="C654">
        <f>HYPERLINK("https://books.toscrape.com/catalogue/the-hound-of-the-baskervilles-sherlock-holmes-5_348/index.html","Open Link")</f>
        <v/>
      </c>
    </row>
    <row r="655">
      <c r="A655" t="inlineStr">
        <is>
          <t>The Gunning of America: ...</t>
        </is>
      </c>
      <c r="B655" t="inlineStr">
        <is>
          <t>£16.81</t>
        </is>
      </c>
      <c r="C655">
        <f>HYPERLINK("https://books.toscrape.com/catalogue/the-gunning-of-america-business-and-the-making-of-american-gun-culture_347/index.html","Open Link")</f>
        <v/>
      </c>
    </row>
    <row r="656">
      <c r="A656" t="inlineStr">
        <is>
          <t>The Geography of Bliss: ...</t>
        </is>
      </c>
      <c r="B656" t="inlineStr">
        <is>
          <t>£28.23</t>
        </is>
      </c>
      <c r="C656">
        <f>HYPERLINK("https://books.toscrape.com/catalogue/the-geography-of-bliss-one-grumps-search-for-the-happiest-places-in-the-world_346/index.html","Open Link")</f>
        <v/>
      </c>
    </row>
    <row r="657">
      <c r="A657" t="inlineStr">
        <is>
          <t>The Demonists (Demonist #1)</t>
        </is>
      </c>
      <c r="B657" t="inlineStr">
        <is>
          <t>£52.11</t>
        </is>
      </c>
      <c r="C657">
        <f>HYPERLINK("https://books.toscrape.com/catalogue/the-demonists-demonist-1_345/index.html","Open Link")</f>
        <v/>
      </c>
    </row>
    <row r="658">
      <c r="A658" t="inlineStr">
        <is>
          <t>The Demon Prince of ...</t>
        </is>
      </c>
      <c r="B658" t="inlineStr">
        <is>
          <t>£27.88</t>
        </is>
      </c>
      <c r="C658">
        <f>HYPERLINK("https://books.toscrape.com/catalogue/the-demon-prince-of-momochi-house-vol-4-the-demon-prince-of-momochi-house-4_344/index.html","Open Link")</f>
        <v/>
      </c>
    </row>
    <row r="659">
      <c r="A659" t="inlineStr">
        <is>
          <t>The Bone Hunters (Lexy ...</t>
        </is>
      </c>
      <c r="B659" t="inlineStr">
        <is>
          <t>£59.71</t>
        </is>
      </c>
      <c r="C659">
        <f>HYPERLINK("https://books.toscrape.com/catalogue/the-bone-hunters-lexy-vaughan-steven-macaulay-2_343/index.html","Open Link")</f>
        <v/>
      </c>
    </row>
    <row r="660">
      <c r="A660" t="inlineStr">
        <is>
          <t>The Beast (Black Dagger ...</t>
        </is>
      </c>
      <c r="B660" t="inlineStr">
        <is>
          <t>£46.08</t>
        </is>
      </c>
      <c r="C660">
        <f>HYPERLINK("https://books.toscrape.com/catalogue/the-beast-black-dagger-brotherhood-14_342/index.html","Open Link")</f>
        <v/>
      </c>
    </row>
    <row r="661">
      <c r="A661" t="inlineStr">
        <is>
          <t>Some Women</t>
        </is>
      </c>
      <c r="B661" t="inlineStr">
        <is>
          <t>£13.73</t>
        </is>
      </c>
      <c r="C661">
        <f>HYPERLINK("https://books.toscrape.com/catalogue/some-women_341/index.html","Open Link")</f>
        <v/>
      </c>
    </row>
    <row r="662">
      <c r="A662" t="inlineStr">
        <is>
          <t>Shopaholic Ties the Knot ...</t>
        </is>
      </c>
      <c r="B662" t="inlineStr">
        <is>
          <t>£48.39</t>
        </is>
      </c>
      <c r="C662">
        <f>HYPERLINK("https://books.toscrape.com/catalogue/shopaholic-ties-the-knot-shopaholic-3_340/index.html","Open Link")</f>
        <v/>
      </c>
    </row>
    <row r="663">
      <c r="A663" t="inlineStr">
        <is>
          <t>Paper and Fire (The ...</t>
        </is>
      </c>
      <c r="B663" t="inlineStr">
        <is>
          <t>£49.45</t>
        </is>
      </c>
      <c r="C663">
        <f>HYPERLINK("https://books.toscrape.com/catalogue/paper-and-fire-the-great-library-2_339/index.html","Open Link")</f>
        <v/>
      </c>
    </row>
    <row r="664">
      <c r="A664" t="inlineStr">
        <is>
          <t>Outlander (Outlander #1)</t>
        </is>
      </c>
      <c r="B664" t="inlineStr">
        <is>
          <t>£19.67</t>
        </is>
      </c>
      <c r="C664">
        <f>HYPERLINK("https://books.toscrape.com/catalogue/outlander-outlander-1_338/index.html","Open Link")</f>
        <v/>
      </c>
    </row>
    <row r="665">
      <c r="A665" t="inlineStr">
        <is>
          <t>Orchestra of Exiles: The ...</t>
        </is>
      </c>
      <c r="B665" t="inlineStr">
        <is>
          <t>£12.36</t>
        </is>
      </c>
      <c r="C665">
        <f>HYPERLINK("https://books.toscrape.com/catalogue/orchestra-of-exiles-the-story-of-bronislaw-huberman-the-israel-philharmonic-and-the-one-thousand-jews-he-saved-from-nazi-horrors_337/index.html","Open Link")</f>
        <v/>
      </c>
    </row>
    <row r="666">
      <c r="A666" t="inlineStr">
        <is>
          <t>No One Here Gets ...</t>
        </is>
      </c>
      <c r="B666" t="inlineStr">
        <is>
          <t>£20.02</t>
        </is>
      </c>
      <c r="C666">
        <f>HYPERLINK("https://books.toscrape.com/catalogue/no-one-here-gets-out-alive_336/index.html","Open Link")</f>
        <v/>
      </c>
    </row>
    <row r="667">
      <c r="A667" t="inlineStr">
        <is>
          <t>Night Shift (Night Shift ...</t>
        </is>
      </c>
      <c r="B667" t="inlineStr">
        <is>
          <t>£12.75</t>
        </is>
      </c>
      <c r="C667">
        <f>HYPERLINK("https://books.toscrape.com/catalogue/night-shift-night-shift-1-20_335/index.html","Open Link")</f>
        <v/>
      </c>
    </row>
    <row r="668">
      <c r="A668" t="inlineStr">
        <is>
          <t>Needful Things</t>
        </is>
      </c>
      <c r="B668" t="inlineStr">
        <is>
          <t>£47.51</t>
        </is>
      </c>
      <c r="C668">
        <f>HYPERLINK("https://books.toscrape.com/catalogue/needful-things_334/index.html","Open Link")</f>
        <v/>
      </c>
    </row>
    <row r="669">
      <c r="A669" t="inlineStr">
        <is>
          <t>Mockingjay (The Hunger Games ...</t>
        </is>
      </c>
      <c r="B669" t="inlineStr">
        <is>
          <t>£20.44</t>
        </is>
      </c>
      <c r="C669">
        <f>HYPERLINK("https://books.toscrape.com/catalogue/mockingjay-the-hunger-games-3_333/index.html","Open Link")</f>
        <v/>
      </c>
    </row>
    <row r="670">
      <c r="A670" t="inlineStr">
        <is>
          <t>Misery</t>
        </is>
      </c>
      <c r="B670" t="inlineStr">
        <is>
          <t>£34.79</t>
        </is>
      </c>
      <c r="C670">
        <f>HYPERLINK("https://books.toscrape.com/catalogue/misery_332/index.html","Open Link")</f>
        <v/>
      </c>
    </row>
    <row r="671">
      <c r="A671" t="inlineStr">
        <is>
          <t>Little Women (Little Women ...</t>
        </is>
      </c>
      <c r="B671" t="inlineStr">
        <is>
          <t>£28.07</t>
        </is>
      </c>
      <c r="C671">
        <f>HYPERLINK("https://books.toscrape.com/catalogue/little-women-little-women-1_331/index.html","Open Link")</f>
        <v/>
      </c>
    </row>
    <row r="672">
      <c r="A672" t="inlineStr">
        <is>
          <t>It</t>
        </is>
      </c>
      <c r="B672" t="inlineStr">
        <is>
          <t>£25.01</t>
        </is>
      </c>
      <c r="C672">
        <f>HYPERLINK("https://books.toscrape.com/catalogue/it_330/index.html","Open Link")</f>
        <v/>
      </c>
    </row>
    <row r="673">
      <c r="A673" t="inlineStr">
        <is>
          <t>Harry Potter and the ...</t>
        </is>
      </c>
      <c r="B673" t="inlineStr">
        <is>
          <t>£13.90</t>
        </is>
      </c>
      <c r="C673">
        <f>HYPERLINK("https://books.toscrape.com/catalogue/harry-potter-and-the-sorcerers-stone-harry-potter-1_329/index.html","Open Link")</f>
        <v/>
      </c>
    </row>
    <row r="674">
      <c r="A674" t="inlineStr">
        <is>
          <t>Harry Potter and the ...</t>
        </is>
      </c>
      <c r="B674" t="inlineStr">
        <is>
          <t>£24.17</t>
        </is>
      </c>
      <c r="C674">
        <f>HYPERLINK("https://books.toscrape.com/catalogue/harry-potter-and-the-prisoner-of-azkaban-harry-potter-3_328/index.html","Open Link")</f>
        <v/>
      </c>
    </row>
    <row r="675">
      <c r="A675" t="inlineStr">
        <is>
          <t>Harry Potter and the ...</t>
        </is>
      </c>
      <c r="B675" t="inlineStr">
        <is>
          <t>£31.63</t>
        </is>
      </c>
      <c r="C675">
        <f>HYPERLINK("https://books.toscrape.com/catalogue/harry-potter-and-the-order-of-the-phoenix-harry-potter-5_327/index.html","Open Link")</f>
        <v/>
      </c>
    </row>
    <row r="676">
      <c r="A676" t="inlineStr">
        <is>
          <t>Harry Potter and the ...</t>
        </is>
      </c>
      <c r="B676" t="inlineStr">
        <is>
          <t>£48.75</t>
        </is>
      </c>
      <c r="C676">
        <f>HYPERLINK("https://books.toscrape.com/catalogue/harry-potter-and-the-half-blood-prince-harry-potter-6_326/index.html","Open Link")</f>
        <v/>
      </c>
    </row>
    <row r="677">
      <c r="A677" t="inlineStr">
        <is>
          <t>Harry Potter and the ...</t>
        </is>
      </c>
      <c r="B677" t="inlineStr">
        <is>
          <t>£14.74</t>
        </is>
      </c>
      <c r="C677">
        <f>HYPERLINK("https://books.toscrape.com/catalogue/harry-potter-and-the-chamber-of-secrets-harry-potter-2_325/index.html","Open Link")</f>
        <v/>
      </c>
    </row>
    <row r="678">
      <c r="A678" t="inlineStr">
        <is>
          <t>Gone with the Wind</t>
        </is>
      </c>
      <c r="B678" t="inlineStr">
        <is>
          <t>£32.49</t>
        </is>
      </c>
      <c r="C678">
        <f>HYPERLINK("https://books.toscrape.com/catalogue/gone-with-the-wind_324/index.html","Open Link")</f>
        <v/>
      </c>
    </row>
    <row r="679">
      <c r="A679" t="inlineStr">
        <is>
          <t>God Is Not Great: ...</t>
        </is>
      </c>
      <c r="B679" t="inlineStr">
        <is>
          <t>£27.80</t>
        </is>
      </c>
      <c r="C679">
        <f>HYPERLINK("https://books.toscrape.com/catalogue/god-is-not-great-how-religion-poisons-everything_323/index.html","Open Link")</f>
        <v/>
      </c>
    </row>
    <row r="680">
      <c r="A680" t="inlineStr">
        <is>
          <t>Girl With a Pearl ...</t>
        </is>
      </c>
      <c r="B680" t="inlineStr">
        <is>
          <t>£26.77</t>
        </is>
      </c>
      <c r="C680">
        <f>HYPERLINK("https://books.toscrape.com/catalogue/girl-with-a-pearl-earring_322/index.html","Open Link")</f>
        <v/>
      </c>
    </row>
    <row r="681">
      <c r="A681" t="inlineStr">
        <is>
          <t>Fruits Basket, Vol. 4 ...</t>
        </is>
      </c>
      <c r="B681" t="inlineStr">
        <is>
          <t>£50.44</t>
        </is>
      </c>
      <c r="C681">
        <f>HYPERLINK("https://books.toscrape.com/catalogue/fruits-basket-vol-4-fruits-basket-4_321/index.html","Open Link")</f>
        <v/>
      </c>
    </row>
    <row r="682">
      <c r="A682" t="inlineStr">
        <is>
          <t>Far From True (Promise ...</t>
        </is>
      </c>
      <c r="B682" t="inlineStr">
        <is>
          <t>£34.93</t>
        </is>
      </c>
      <c r="C682">
        <f>HYPERLINK("https://books.toscrape.com/catalogue/far-from-true-promise-falls-trilogy-2_320/index.html","Open Link")</f>
        <v/>
      </c>
    </row>
    <row r="683">
      <c r="A683" t="inlineStr">
        <is>
          <t>Dark Lover (Black Dagger ...</t>
        </is>
      </c>
      <c r="B683" t="inlineStr">
        <is>
          <t>£12.87</t>
        </is>
      </c>
      <c r="C683">
        <f>HYPERLINK("https://books.toscrape.com/catalogue/dark-lover-black-dagger-brotherhood-1_319/index.html","Open Link")</f>
        <v/>
      </c>
    </row>
    <row r="684">
      <c r="A684" t="inlineStr">
        <is>
          <t>Confessions of a Shopaholic ...</t>
        </is>
      </c>
      <c r="B684" t="inlineStr">
        <is>
          <t>£48.94</t>
        </is>
      </c>
      <c r="C684">
        <f>HYPERLINK("https://books.toscrape.com/catalogue/confessions-of-a-shopaholic-shopaholic-1_318/index.html","Open Link")</f>
        <v/>
      </c>
    </row>
    <row r="685">
      <c r="A685" t="inlineStr">
        <is>
          <t>Changing the Game (Play ...</t>
        </is>
      </c>
      <c r="B685" t="inlineStr">
        <is>
          <t>£13.38</t>
        </is>
      </c>
      <c r="C685">
        <f>HYPERLINK("https://books.toscrape.com/catalogue/changing-the-game-play-by-play-2_317/index.html","Open Link")</f>
        <v/>
      </c>
    </row>
    <row r="686">
      <c r="A686" t="inlineStr">
        <is>
          <t>Candide</t>
        </is>
      </c>
      <c r="B686" t="inlineStr">
        <is>
          <t>£58.63</t>
        </is>
      </c>
      <c r="C686">
        <f>HYPERLINK("https://books.toscrape.com/catalogue/candide_316/index.html","Open Link")</f>
        <v/>
      </c>
    </row>
    <row r="687">
      <c r="A687" t="inlineStr">
        <is>
          <t>Can You Keep a ...</t>
        </is>
      </c>
      <c r="B687" t="inlineStr">
        <is>
          <t>£21.94</t>
        </is>
      </c>
      <c r="C687">
        <f>HYPERLINK("https://books.toscrape.com/catalogue/can-you-keep-a-secret_315/index.html","Open Link")</f>
        <v/>
      </c>
    </row>
    <row r="688">
      <c r="A688" t="inlineStr">
        <is>
          <t>Atlas Shrugged</t>
        </is>
      </c>
      <c r="B688" t="inlineStr">
        <is>
          <t>£26.58</t>
        </is>
      </c>
      <c r="C688">
        <f>HYPERLINK("https://books.toscrape.com/catalogue/atlas-shrugged_314/index.html","Open Link")</f>
        <v/>
      </c>
    </row>
    <row r="689">
      <c r="A689" t="inlineStr">
        <is>
          <t>Animal Farm</t>
        </is>
      </c>
      <c r="B689" t="inlineStr">
        <is>
          <t>£57.22</t>
        </is>
      </c>
      <c r="C689">
        <f>HYPERLINK("https://books.toscrape.com/catalogue/animal-farm_313/index.html","Open Link")</f>
        <v/>
      </c>
    </row>
    <row r="690">
      <c r="A690" t="inlineStr">
        <is>
          <t>A Walk to Remember</t>
        </is>
      </c>
      <c r="B690" t="inlineStr">
        <is>
          <t>£56.43</t>
        </is>
      </c>
      <c r="C690">
        <f>HYPERLINK("https://books.toscrape.com/catalogue/a-walk-to-remember_312/index.html","Open Link")</f>
        <v/>
      </c>
    </row>
    <row r="691">
      <c r="A691" t="inlineStr">
        <is>
          <t>A New Earth: Awakening ...</t>
        </is>
      </c>
      <c r="B691" t="inlineStr">
        <is>
          <t>£55.65</t>
        </is>
      </c>
      <c r="C691">
        <f>HYPERLINK("https://books.toscrape.com/catalogue/a-new-earth-awakening-to-your-lifes-purpose_311/index.html","Open Link")</f>
        <v/>
      </c>
    </row>
    <row r="692">
      <c r="A692" t="inlineStr">
        <is>
          <t>A History of God: ...</t>
        </is>
      </c>
      <c r="B692" t="inlineStr">
        <is>
          <t>£27.62</t>
        </is>
      </c>
      <c r="C692">
        <f>HYPERLINK("https://books.toscrape.com/catalogue/a-history-of-god-the-4000-year-quest-of-judaism-christianity-and-islam_310/index.html","Open Link")</f>
        <v/>
      </c>
    </row>
    <row r="693">
      <c r="A693" t="inlineStr">
        <is>
          <t>'Salem's Lot</t>
        </is>
      </c>
      <c r="B693" t="inlineStr">
        <is>
          <t>£49.56</t>
        </is>
      </c>
      <c r="C693">
        <f>HYPERLINK("https://books.toscrape.com/catalogue/salems-lot_309/index.html","Open Link")</f>
        <v/>
      </c>
    </row>
    <row r="694">
      <c r="A694" t="inlineStr">
        <is>
          <t>Zero History (Blue Ant ...</t>
        </is>
      </c>
      <c r="B694" t="inlineStr">
        <is>
          <t>£34.77</t>
        </is>
      </c>
      <c r="C694">
        <f>HYPERLINK("https://books.toscrape.com/catalogue/zero-history-blue-ant-3_308/index.html","Open Link")</f>
        <v/>
      </c>
    </row>
    <row r="695">
      <c r="A695" t="inlineStr">
        <is>
          <t>Wuthering Heights</t>
        </is>
      </c>
      <c r="B695" t="inlineStr">
        <is>
          <t>£17.73</t>
        </is>
      </c>
      <c r="C695">
        <f>HYPERLINK("https://books.toscrape.com/catalogue/wuthering-heights_307/index.html","Open Link")</f>
        <v/>
      </c>
    </row>
    <row r="696">
      <c r="A696" t="inlineStr">
        <is>
          <t>World War Z: An ...</t>
        </is>
      </c>
      <c r="B696" t="inlineStr">
        <is>
          <t>£21.80</t>
        </is>
      </c>
      <c r="C696">
        <f>HYPERLINK("https://books.toscrape.com/catalogue/world-war-z-an-oral-history-of-the-zombie-war_306/index.html","Open Link")</f>
        <v/>
      </c>
    </row>
    <row r="697">
      <c r="A697" t="inlineStr">
        <is>
          <t>Wild: From Lost to ...</t>
        </is>
      </c>
      <c r="B697" t="inlineStr">
        <is>
          <t>£46.02</t>
        </is>
      </c>
      <c r="C697">
        <f>HYPERLINK("https://books.toscrape.com/catalogue/wild-from-lost-to-found-on-the-pacific-crest-trail_305/index.html","Open Link")</f>
        <v/>
      </c>
    </row>
    <row r="698">
      <c r="A698" t="inlineStr">
        <is>
          <t>Where'd You Go, Bernadette</t>
        </is>
      </c>
      <c r="B698" t="inlineStr">
        <is>
          <t>£18.13</t>
        </is>
      </c>
      <c r="C698">
        <f>HYPERLINK("https://books.toscrape.com/catalogue/whered-you-go-bernadette_304/index.html","Open Link")</f>
        <v/>
      </c>
    </row>
    <row r="699">
      <c r="A699" t="inlineStr">
        <is>
          <t>When You Are Engulfed ...</t>
        </is>
      </c>
      <c r="B699" t="inlineStr">
        <is>
          <t>£30.89</t>
        </is>
      </c>
      <c r="C699">
        <f>HYPERLINK("https://books.toscrape.com/catalogue/when-you-are-engulfed-in-flames_303/index.html","Open Link")</f>
        <v/>
      </c>
    </row>
    <row r="700">
      <c r="A700" t="inlineStr">
        <is>
          <t>We the People: The ...</t>
        </is>
      </c>
      <c r="B700" t="inlineStr">
        <is>
          <t>£31.95</t>
        </is>
      </c>
      <c r="C700">
        <f>HYPERLINK("https://books.toscrape.com/catalogue/we-the-people-the-modern-day-figures-who-have-reshaped-and-affirmed-the-founding-fathers-vision-of-america_302/index.html","Open Link")</f>
        <v/>
      </c>
    </row>
    <row r="701">
      <c r="A701" t="inlineStr">
        <is>
          <t>We Are All Completely ...</t>
        </is>
      </c>
      <c r="B701" t="inlineStr">
        <is>
          <t>£24.04</t>
        </is>
      </c>
      <c r="C701">
        <f>HYPERLINK("https://books.toscrape.com/catalogue/we-are-all-completely-beside-ourselves_301/index.html","Open Link")</f>
        <v/>
      </c>
    </row>
    <row r="702">
      <c r="A702" t="inlineStr">
        <is>
          <t>Walk the Edge (Thunder ...</t>
        </is>
      </c>
      <c r="B702" t="inlineStr">
        <is>
          <t>£32.36</t>
        </is>
      </c>
      <c r="C702">
        <f>HYPERLINK("https://books.toscrape.com/catalogue/walk-the-edge-thunder-road-2_300/index.html","Open Link")</f>
        <v/>
      </c>
    </row>
    <row r="703">
      <c r="A703" t="inlineStr">
        <is>
          <t>Voyager (Outlander #3)</t>
        </is>
      </c>
      <c r="B703" t="inlineStr">
        <is>
          <t>£21.07</t>
        </is>
      </c>
      <c r="C703">
        <f>HYPERLINK("https://books.toscrape.com/catalogue/voyager-outlander-3_299/index.html","Open Link")</f>
        <v/>
      </c>
    </row>
    <row r="704">
      <c r="A704" t="inlineStr">
        <is>
          <t>Very Good Lives: The ...</t>
        </is>
      </c>
      <c r="B704" t="inlineStr">
        <is>
          <t>£50.66</t>
        </is>
      </c>
      <c r="C704">
        <f>HYPERLINK("https://books.toscrape.com/catalogue/very-good-lives-the-fringe-benefits-of-failure-and-the-importance-of-imagination_298/index.html","Open Link")</f>
        <v/>
      </c>
    </row>
    <row r="705">
      <c r="A705" t="inlineStr">
        <is>
          <t>Vegan Vegetarian Omnivore: Dinner ...</t>
        </is>
      </c>
      <c r="B705" t="inlineStr">
        <is>
          <t>£13.66</t>
        </is>
      </c>
      <c r="C705">
        <f>HYPERLINK("https://books.toscrape.com/catalogue/vegan-vegetarian-omnivore-dinner-for-everyone-at-the-table_297/index.html","Open Link")</f>
        <v/>
      </c>
    </row>
    <row r="706">
      <c r="A706" t="inlineStr">
        <is>
          <t>Unstuffed: Decluttering Your Home, ...</t>
        </is>
      </c>
      <c r="B706" t="inlineStr">
        <is>
          <t>£58.09</t>
        </is>
      </c>
      <c r="C706">
        <f>HYPERLINK("https://books.toscrape.com/catalogue/unstuffed-decluttering-your-home-mind-and-soul_296/index.html","Open Link")</f>
        <v/>
      </c>
    </row>
    <row r="707">
      <c r="A707" t="inlineStr">
        <is>
          <t>Under the Banner of ...</t>
        </is>
      </c>
      <c r="B707" t="inlineStr">
        <is>
          <t>£30.00</t>
        </is>
      </c>
      <c r="C707">
        <f>HYPERLINK("https://books.toscrape.com/catalogue/under-the-banner-of-heaven-a-story-of-violent-faith_295/index.html","Open Link")</f>
        <v/>
      </c>
    </row>
    <row r="708">
      <c r="A708" t="inlineStr">
        <is>
          <t>Two Boys Kissing</t>
        </is>
      </c>
      <c r="B708" t="inlineStr">
        <is>
          <t>£32.74</t>
        </is>
      </c>
      <c r="C708">
        <f>HYPERLINK("https://books.toscrape.com/catalogue/two-boys-kissing_294/index.html","Open Link")</f>
        <v/>
      </c>
    </row>
    <row r="709">
      <c r="A709" t="inlineStr">
        <is>
          <t>Twilight (Twilight #1)</t>
        </is>
      </c>
      <c r="B709" t="inlineStr">
        <is>
          <t>£41.93</t>
        </is>
      </c>
      <c r="C709">
        <f>HYPERLINK("https://books.toscrape.com/catalogue/twilight-twilight-1_293/index.html","Open Link")</f>
        <v/>
      </c>
    </row>
    <row r="710">
      <c r="A710" t="inlineStr">
        <is>
          <t>Twenties Girl</t>
        </is>
      </c>
      <c r="B710" t="inlineStr">
        <is>
          <t>£42.80</t>
        </is>
      </c>
      <c r="C710">
        <f>HYPERLINK("https://books.toscrape.com/catalogue/twenties-girl_292/index.html","Open Link")</f>
        <v/>
      </c>
    </row>
    <row r="711">
      <c r="A711" t="inlineStr">
        <is>
          <t>Trespassing Across America: One ...</t>
        </is>
      </c>
      <c r="B711" t="inlineStr">
        <is>
          <t>£53.51</t>
        </is>
      </c>
      <c r="C711">
        <f>HYPERLINK("https://books.toscrape.com/catalogue/trespassing-across-america-one-mans-epic-never-done-before-and-sort-of-illegal-hike-across-the-heartland_291/index.html","Open Link")</f>
        <v/>
      </c>
    </row>
    <row r="712">
      <c r="A712" t="inlineStr">
        <is>
          <t>Three-Martini Lunch</t>
        </is>
      </c>
      <c r="B712" t="inlineStr">
        <is>
          <t>£23.21</t>
        </is>
      </c>
      <c r="C712">
        <f>HYPERLINK("https://books.toscrape.com/catalogue/three-martini-lunch_290/index.html","Open Link")</f>
        <v/>
      </c>
    </row>
    <row r="713">
      <c r="A713" t="inlineStr">
        <is>
          <t>Thinking, Fast and Slow</t>
        </is>
      </c>
      <c r="B713" t="inlineStr">
        <is>
          <t>£21.14</t>
        </is>
      </c>
      <c r="C713">
        <f>HYPERLINK("https://books.toscrape.com/catalogue/thinking-fast-and-slow_289/index.html","Open Link")</f>
        <v/>
      </c>
    </row>
    <row r="714">
      <c r="A714" t="inlineStr">
        <is>
          <t>The Wild Robot</t>
        </is>
      </c>
      <c r="B714" t="inlineStr">
        <is>
          <t>£56.07</t>
        </is>
      </c>
      <c r="C714">
        <f>HYPERLINK("https://books.toscrape.com/catalogue/the-wild-robot_288/index.html","Open Link")</f>
        <v/>
      </c>
    </row>
    <row r="715">
      <c r="A715" t="inlineStr">
        <is>
          <t>The Wicked + The ...</t>
        </is>
      </c>
      <c r="B715" t="inlineStr">
        <is>
          <t>£14.41</t>
        </is>
      </c>
      <c r="C715">
        <f>HYPERLINK("https://books.toscrape.com/catalogue/the-wicked-the-divine-vol-3-commercial-suicide-the-wicked-the-divine_287/index.html","Open Link")</f>
        <v/>
      </c>
    </row>
    <row r="716">
      <c r="A716" t="inlineStr">
        <is>
          <t>The Undomestic Goddess</t>
        </is>
      </c>
      <c r="B716" t="inlineStr">
        <is>
          <t>£45.75</t>
        </is>
      </c>
      <c r="C716">
        <f>HYPERLINK("https://books.toscrape.com/catalogue/the-undomestic-goddess_286/index.html","Open Link")</f>
        <v/>
      </c>
    </row>
    <row r="717">
      <c r="A717" t="inlineStr">
        <is>
          <t>The Travelers</t>
        </is>
      </c>
      <c r="B717" t="inlineStr">
        <is>
          <t>£15.77</t>
        </is>
      </c>
      <c r="C717">
        <f>HYPERLINK("https://books.toscrape.com/catalogue/the-travelers_285/index.html","Open Link")</f>
        <v/>
      </c>
    </row>
    <row r="718">
      <c r="A718" t="inlineStr">
        <is>
          <t>The Tipping Point: How ...</t>
        </is>
      </c>
      <c r="B718" t="inlineStr">
        <is>
          <t>£10.02</t>
        </is>
      </c>
      <c r="C718">
        <f>HYPERLINK("https://books.toscrape.com/catalogue/the-tipping-point-how-little-things-can-make-a-big-difference_284/index.html","Open Link")</f>
        <v/>
      </c>
    </row>
    <row r="719">
      <c r="A719" t="inlineStr">
        <is>
          <t>The Thing About Jellyfish</t>
        </is>
      </c>
      <c r="B719" t="inlineStr">
        <is>
          <t>£48.77</t>
        </is>
      </c>
      <c r="C719">
        <f>HYPERLINK("https://books.toscrape.com/catalogue/the-thing-about-jellyfish_283/index.html","Open Link")</f>
        <v/>
      </c>
    </row>
    <row r="720">
      <c r="A720" t="inlineStr">
        <is>
          <t>The Stand</t>
        </is>
      </c>
      <c r="B720" t="inlineStr">
        <is>
          <t>£57.86</t>
        </is>
      </c>
      <c r="C720">
        <f>HYPERLINK("https://books.toscrape.com/catalogue/the-stand_282/index.html","Open Link")</f>
        <v/>
      </c>
    </row>
    <row r="721">
      <c r="A721" t="inlineStr">
        <is>
          <t>The Smitten Kitchen Cookbook</t>
        </is>
      </c>
      <c r="B721" t="inlineStr">
        <is>
          <t>£23.59</t>
        </is>
      </c>
      <c r="C721">
        <f>HYPERLINK("https://books.toscrape.com/catalogue/the-smitten-kitchen-cookbook_281/index.html","Open Link")</f>
        <v/>
      </c>
    </row>
    <row r="722">
      <c r="A722" t="inlineStr">
        <is>
          <t>The Silkworm (Cormoran Strike ...</t>
        </is>
      </c>
      <c r="B722" t="inlineStr">
        <is>
          <t>£23.05</t>
        </is>
      </c>
      <c r="C722">
        <f>HYPERLINK("https://books.toscrape.com/catalogue/the-silkworm-cormoran-strike-2_280/index.html","Open Link")</f>
        <v/>
      </c>
    </row>
    <row r="723">
      <c r="A723" t="inlineStr">
        <is>
          <t>The Sandman, Vol. 3: ...</t>
        </is>
      </c>
      <c r="B723" t="inlineStr">
        <is>
          <t>£55.55</t>
        </is>
      </c>
      <c r="C723">
        <f>HYPERLINK("https://books.toscrape.com/catalogue/the-sandman-vol-3-dream-country-the-sandman-volumes-3_279/index.html","Open Link")</f>
        <v/>
      </c>
    </row>
    <row r="724">
      <c r="A724" t="inlineStr">
        <is>
          <t>The Rose &amp; the ...</t>
        </is>
      </c>
      <c r="B724" t="inlineStr">
        <is>
          <t>£58.64</t>
        </is>
      </c>
      <c r="C724">
        <f>HYPERLINK("https://books.toscrape.com/catalogue/the-rose-the-dagger-the-wrath-and-the-dawn-2_278/index.html","Open Link")</f>
        <v/>
      </c>
    </row>
    <row r="725">
      <c r="A725" t="inlineStr">
        <is>
          <t>The Road to Little ...</t>
        </is>
      </c>
      <c r="B725" t="inlineStr">
        <is>
          <t>£23.21</t>
        </is>
      </c>
      <c r="C725">
        <f>HYPERLINK("https://books.toscrape.com/catalogue/the-road-to-little-dribbling-adventures-of-an-american-in-britain-notes-from-a-small-island-2_277/index.html","Open Link")</f>
        <v/>
      </c>
    </row>
    <row r="726">
      <c r="A726" t="inlineStr">
        <is>
          <t>The Rise of Theodore ...</t>
        </is>
      </c>
      <c r="B726" t="inlineStr">
        <is>
          <t>£42.57</t>
        </is>
      </c>
      <c r="C726">
        <f>HYPERLINK("https://books.toscrape.com/catalogue/the-rise-of-theodore-roosevelt-theodore-roosevelt-1_276/index.html","Open Link")</f>
        <v/>
      </c>
    </row>
    <row r="727">
      <c r="A727" t="inlineStr">
        <is>
          <t>The Restaurant at the ...</t>
        </is>
      </c>
      <c r="B727" t="inlineStr">
        <is>
          <t>£10.92</t>
        </is>
      </c>
      <c r="C727">
        <f>HYPERLINK("https://books.toscrape.com/catalogue/the-restaurant-at-the-end-of-the-universe-hitchhikers-guide-to-the-galaxy-2_275/index.html","Open Link")</f>
        <v/>
      </c>
    </row>
    <row r="728">
      <c r="A728" t="inlineStr">
        <is>
          <t>The Rest Is Noise: ...</t>
        </is>
      </c>
      <c r="B728" t="inlineStr">
        <is>
          <t>£34.77</t>
        </is>
      </c>
      <c r="C728">
        <f>HYPERLINK("https://books.toscrape.com/catalogue/the-rest-is-noise-listening-to-the-twentieth-century_274/index.html","Open Link")</f>
        <v/>
      </c>
    </row>
    <row r="729">
      <c r="A729" t="inlineStr">
        <is>
          <t>The Red Tent</t>
        </is>
      </c>
      <c r="B729" t="inlineStr">
        <is>
          <t>£35.66</t>
        </is>
      </c>
      <c r="C729">
        <f>HYPERLINK("https://books.toscrape.com/catalogue/the-red-tent_273/index.html","Open Link")</f>
        <v/>
      </c>
    </row>
    <row r="730">
      <c r="A730" t="inlineStr">
        <is>
          <t>The Purpose Driven Life: ...</t>
        </is>
      </c>
      <c r="B730" t="inlineStr">
        <is>
          <t>£37.19</t>
        </is>
      </c>
      <c r="C730">
        <f>HYPERLINK("https://books.toscrape.com/catalogue/the-purpose-driven-life-what-on-earth-am-i-here-for_272/index.html","Open Link")</f>
        <v/>
      </c>
    </row>
    <row r="731">
      <c r="A731" t="inlineStr">
        <is>
          <t>The Purest Hook (Second ...</t>
        </is>
      </c>
      <c r="B731" t="inlineStr">
        <is>
          <t>£12.25</t>
        </is>
      </c>
      <c r="C731">
        <f>HYPERLINK("https://books.toscrape.com/catalogue/the-purest-hook-second-circle-tattoos-3_271/index.html","Open Link")</f>
        <v/>
      </c>
    </row>
    <row r="732">
      <c r="A732" t="inlineStr">
        <is>
          <t>The Picture of Dorian ...</t>
        </is>
      </c>
      <c r="B732" t="inlineStr">
        <is>
          <t>£29.70</t>
        </is>
      </c>
      <c r="C732">
        <f>HYPERLINK("https://books.toscrape.com/catalogue/the-picture-of-dorian-gray_270/index.html","Open Link")</f>
        <v/>
      </c>
    </row>
    <row r="733">
      <c r="A733" t="inlineStr">
        <is>
          <t>The Paris Wife</t>
        </is>
      </c>
      <c r="B733" t="inlineStr">
        <is>
          <t>£36.80</t>
        </is>
      </c>
      <c r="C733">
        <f>HYPERLINK("https://books.toscrape.com/catalogue/the-paris-wife_269/index.html","Open Link")</f>
        <v/>
      </c>
    </row>
    <row r="734">
      <c r="A734" t="inlineStr">
        <is>
          <t>The Obsession</t>
        </is>
      </c>
      <c r="B734" t="inlineStr">
        <is>
          <t>£45.43</t>
        </is>
      </c>
      <c r="C734">
        <f>HYPERLINK("https://books.toscrape.com/catalogue/the-obsession_268/index.html","Open Link")</f>
        <v/>
      </c>
    </row>
    <row r="735">
      <c r="A735" t="inlineStr">
        <is>
          <t>The Nightingale</t>
        </is>
      </c>
      <c r="B735" t="inlineStr">
        <is>
          <t>£26.26</t>
        </is>
      </c>
      <c r="C735">
        <f>HYPERLINK("https://books.toscrape.com/catalogue/the-nightingale_267/index.html","Open Link")</f>
        <v/>
      </c>
    </row>
    <row r="736">
      <c r="A736" t="inlineStr">
        <is>
          <t>The New Guy (and ...</t>
        </is>
      </c>
      <c r="B736" t="inlineStr">
        <is>
          <t>£44.92</t>
        </is>
      </c>
      <c r="C736">
        <f>HYPERLINK("https://books.toscrape.com/catalogue/the-new-guy-and-other-senior-year-distractions_266/index.html","Open Link")</f>
        <v/>
      </c>
    </row>
    <row r="737">
      <c r="A737" t="inlineStr">
        <is>
          <t>The Nanny Diaries (Nanny ...</t>
        </is>
      </c>
      <c r="B737" t="inlineStr">
        <is>
          <t>£52.53</t>
        </is>
      </c>
      <c r="C737">
        <f>HYPERLINK("https://books.toscrape.com/catalogue/the-nanny-diaries-nanny-1_265/index.html","Open Link")</f>
        <v/>
      </c>
    </row>
    <row r="738">
      <c r="A738" t="inlineStr">
        <is>
          <t>The Name of God ...</t>
        </is>
      </c>
      <c r="B738" t="inlineStr">
        <is>
          <t>£37.25</t>
        </is>
      </c>
      <c r="C738">
        <f>HYPERLINK("https://books.toscrape.com/catalogue/the-name-of-god-is-mercy_264/index.html","Open Link")</f>
        <v/>
      </c>
    </row>
    <row r="739">
      <c r="A739" t="inlineStr">
        <is>
          <t>The Maze Runner (The ...</t>
        </is>
      </c>
      <c r="B739" t="inlineStr">
        <is>
          <t>£20.93</t>
        </is>
      </c>
      <c r="C739">
        <f>HYPERLINK("https://books.toscrape.com/catalogue/the-maze-runner-the-maze-runner-1_263/index.html","Open Link")</f>
        <v/>
      </c>
    </row>
    <row r="740">
      <c r="A740" t="inlineStr">
        <is>
          <t>The Lover's Dictionary</t>
        </is>
      </c>
      <c r="B740" t="inlineStr">
        <is>
          <t>£58.09</t>
        </is>
      </c>
      <c r="C740">
        <f>HYPERLINK("https://books.toscrape.com/catalogue/the-lovers-dictionary_262/index.html","Open Link")</f>
        <v/>
      </c>
    </row>
    <row r="741">
      <c r="A741" t="inlineStr">
        <is>
          <t>The Lonely Ones</t>
        </is>
      </c>
      <c r="B741" t="inlineStr">
        <is>
          <t>£43.59</t>
        </is>
      </c>
      <c r="C741">
        <f>HYPERLINK("https://books.toscrape.com/catalogue/the-lonely-ones_261/index.html","Open Link")</f>
        <v/>
      </c>
    </row>
    <row r="742">
      <c r="A742" t="inlineStr">
        <is>
          <t>The Lean Startup: How ...</t>
        </is>
      </c>
      <c r="B742" t="inlineStr">
        <is>
          <t>£33.92</t>
        </is>
      </c>
      <c r="C742">
        <f>HYPERLINK("https://books.toscrape.com/catalogue/the-lean-startup-how-todays-entrepreneurs-use-continuous-innovation-to-create-radically-successful-businesses_260/index.html","Open Link")</f>
        <v/>
      </c>
    </row>
    <row r="743">
      <c r="A743" t="inlineStr">
        <is>
          <t>The Last Painting of ...</t>
        </is>
      </c>
      <c r="B743" t="inlineStr">
        <is>
          <t>£55.55</t>
        </is>
      </c>
      <c r="C743">
        <f>HYPERLINK("https://books.toscrape.com/catalogue/the-last-painting-of-sara-de-vos_259/index.html","Open Link")</f>
        <v/>
      </c>
    </row>
    <row r="744">
      <c r="A744" t="inlineStr">
        <is>
          <t>The Land of 10,000 ...</t>
        </is>
      </c>
      <c r="B744" t="inlineStr">
        <is>
          <t>£29.64</t>
        </is>
      </c>
      <c r="C744">
        <f>HYPERLINK("https://books.toscrape.com/catalogue/the-land-of-10000-madonnas_258/index.html","Open Link")</f>
        <v/>
      </c>
    </row>
    <row r="745">
      <c r="A745" t="inlineStr">
        <is>
          <t>The Infinities</t>
        </is>
      </c>
      <c r="B745" t="inlineStr">
        <is>
          <t>£27.41</t>
        </is>
      </c>
      <c r="C745">
        <f>HYPERLINK("https://books.toscrape.com/catalogue/the-infinities_257/index.html","Open Link")</f>
        <v/>
      </c>
    </row>
    <row r="746">
      <c r="A746" t="inlineStr">
        <is>
          <t>The Husband's Secret</t>
        </is>
      </c>
      <c r="B746" t="inlineStr">
        <is>
          <t>£52.51</t>
        </is>
      </c>
      <c r="C746">
        <f>HYPERLINK("https://books.toscrape.com/catalogue/the-husbands-secret_256/index.html","Open Link")</f>
        <v/>
      </c>
    </row>
    <row r="747">
      <c r="A747" t="inlineStr">
        <is>
          <t>The Hitchhiker's Guide to ...</t>
        </is>
      </c>
      <c r="B747" t="inlineStr">
        <is>
          <t>£47.80</t>
        </is>
      </c>
      <c r="C747">
        <f>HYPERLINK("https://books.toscrape.com/catalogue/the-hitchhikers-guide-to-the-galaxy-hitchhikers-guide-to-the-galaxy-1_255/index.html","Open Link")</f>
        <v/>
      </c>
    </row>
    <row r="748">
      <c r="A748" t="inlineStr">
        <is>
          <t>The Guns of August</t>
        </is>
      </c>
      <c r="B748" t="inlineStr">
        <is>
          <t>£14.54</t>
        </is>
      </c>
      <c r="C748">
        <f>HYPERLINK("https://books.toscrape.com/catalogue/the-guns-of-august_254/index.html","Open Link")</f>
        <v/>
      </c>
    </row>
    <row r="749">
      <c r="A749" t="inlineStr">
        <is>
          <t>The Guernsey Literary and ...</t>
        </is>
      </c>
      <c r="B749" t="inlineStr">
        <is>
          <t>£49.53</t>
        </is>
      </c>
      <c r="C749">
        <f>HYPERLINK("https://books.toscrape.com/catalogue/the-guernsey-literary-and-potato-peel-pie-society_253/index.html","Open Link")</f>
        <v/>
      </c>
    </row>
    <row r="750">
      <c r="A750" t="inlineStr">
        <is>
          <t>The Goldfinch</t>
        </is>
      </c>
      <c r="B750" t="inlineStr">
        <is>
          <t>£43.58</t>
        </is>
      </c>
      <c r="C750">
        <f>HYPERLINK("https://books.toscrape.com/catalogue/the-goldfinch_252/index.html","Open Link")</f>
        <v/>
      </c>
    </row>
    <row r="751">
      <c r="A751" t="inlineStr">
        <is>
          <t>The Giver (The Giver ...</t>
        </is>
      </c>
      <c r="B751" t="inlineStr">
        <is>
          <t>£12.30</t>
        </is>
      </c>
      <c r="C751">
        <f>HYPERLINK("https://books.toscrape.com/catalogue/the-giver-the-giver-quartet-1_251/index.html","Open Link")</f>
        <v/>
      </c>
    </row>
    <row r="752">
      <c r="A752" t="inlineStr">
        <is>
          <t>The Girl with All ...</t>
        </is>
      </c>
      <c r="B752" t="inlineStr">
        <is>
          <t>£49.47</t>
        </is>
      </c>
      <c r="C752">
        <f>HYPERLINK("https://books.toscrape.com/catalogue/the-girl-with-all-the-gifts_250/index.html","Open Link")</f>
        <v/>
      </c>
    </row>
    <row r="753">
      <c r="A753" t="inlineStr">
        <is>
          <t>The Girl Who Played ...</t>
        </is>
      </c>
      <c r="B753" t="inlineStr">
        <is>
          <t>£22.14</t>
        </is>
      </c>
      <c r="C753">
        <f>HYPERLINK("https://books.toscrape.com/catalogue/the-girl-who-played-with-fire-millennium-trilogy-2_249/index.html","Open Link")</f>
        <v/>
      </c>
    </row>
    <row r="754">
      <c r="A754" t="inlineStr">
        <is>
          <t>The Girl Who Kicked ...</t>
        </is>
      </c>
      <c r="B754" t="inlineStr">
        <is>
          <t>£57.48</t>
        </is>
      </c>
      <c r="C754">
        <f>HYPERLINK("https://books.toscrape.com/catalogue/the-girl-who-kicked-the-hornets-nest-millennium-trilogy-3_248/index.html","Open Link")</f>
        <v/>
      </c>
    </row>
    <row r="755">
      <c r="A755" t="inlineStr">
        <is>
          <t>The Exiled</t>
        </is>
      </c>
      <c r="B755" t="inlineStr">
        <is>
          <t>£43.45</t>
        </is>
      </c>
      <c r="C755">
        <f>HYPERLINK("https://books.toscrape.com/catalogue/the-exiled_247/index.html","Open Link")</f>
        <v/>
      </c>
    </row>
    <row r="756">
      <c r="A756" t="inlineStr">
        <is>
          <t>The End of Faith: ...</t>
        </is>
      </c>
      <c r="B756" t="inlineStr">
        <is>
          <t>£22.13</t>
        </is>
      </c>
      <c r="C756">
        <f>HYPERLINK("https://books.toscrape.com/catalogue/the-end-of-faith-religion-terror-and-the-future-of-reason_246/index.html","Open Link")</f>
        <v/>
      </c>
    </row>
    <row r="757">
      <c r="A757" t="inlineStr">
        <is>
          <t>The Elegant Universe: Superstrings, ...</t>
        </is>
      </c>
      <c r="B757" t="inlineStr">
        <is>
          <t>£13.03</t>
        </is>
      </c>
      <c r="C757">
        <f>HYPERLINK("https://books.toscrape.com/catalogue/the-elegant-universe-superstrings-hidden-dimensions-and-the-quest-for-the-ultimate-theory_245/index.html","Open Link")</f>
        <v/>
      </c>
    </row>
    <row r="758">
      <c r="A758" t="inlineStr">
        <is>
          <t>The Disappearing Spoon: And ...</t>
        </is>
      </c>
      <c r="B758" t="inlineStr">
        <is>
          <t>£57.35</t>
        </is>
      </c>
      <c r="C758">
        <f>HYPERLINK("https://books.toscrape.com/catalogue/the-disappearing-spoon-and-other-true-tales-of-madness-love-and-the-history-of-the-world-from-the-periodic-table-of-the-elements_244/index.html","Open Link")</f>
        <v/>
      </c>
    </row>
    <row r="759">
      <c r="A759" t="inlineStr">
        <is>
          <t>The Devil Wears Prada ...</t>
        </is>
      </c>
      <c r="B759" t="inlineStr">
        <is>
          <t>£44.29</t>
        </is>
      </c>
      <c r="C759">
        <f>HYPERLINK("https://books.toscrape.com/catalogue/the-devil-wears-prada-the-devil-wears-prada-1_243/index.html","Open Link")</f>
        <v/>
      </c>
    </row>
    <row r="760">
      <c r="A760" t="inlineStr">
        <is>
          <t>The Demon-Haunted World: Science ...</t>
        </is>
      </c>
      <c r="B760" t="inlineStr">
        <is>
          <t>£52.25</t>
        </is>
      </c>
      <c r="C760">
        <f>HYPERLINK("https://books.toscrape.com/catalogue/the-demon-haunted-world-science-as-a-candle-in-the-dark_242/index.html","Open Link")</f>
        <v/>
      </c>
    </row>
    <row r="761">
      <c r="A761" t="inlineStr">
        <is>
          <t>The Day the Crayons ...</t>
        </is>
      </c>
      <c r="B761" t="inlineStr">
        <is>
          <t>£26.33</t>
        </is>
      </c>
      <c r="C761">
        <f>HYPERLINK("https://books.toscrape.com/catalogue/the-day-the-crayons-came-home-crayons_241/index.html","Open Link")</f>
        <v/>
      </c>
    </row>
    <row r="762">
      <c r="A762" t="inlineStr">
        <is>
          <t>The Da Vinci Code ...</t>
        </is>
      </c>
      <c r="B762" t="inlineStr">
        <is>
          <t>£22.96</t>
        </is>
      </c>
      <c r="C762">
        <f>HYPERLINK("https://books.toscrape.com/catalogue/the-da-vinci-code-robert-langdon-2_240/index.html","Open Link")</f>
        <v/>
      </c>
    </row>
    <row r="763">
      <c r="A763" t="inlineStr">
        <is>
          <t>The Cuckoo's Calling (Cormoran ...</t>
        </is>
      </c>
      <c r="B763" t="inlineStr">
        <is>
          <t>£19.21</t>
        </is>
      </c>
      <c r="C763">
        <f>HYPERLINK("https://books.toscrape.com/catalogue/the-cuckoos-calling-cormoran-strike-1_239/index.html","Open Link")</f>
        <v/>
      </c>
    </row>
    <row r="764">
      <c r="A764" t="inlineStr">
        <is>
          <t>The Complete Stories and ...</t>
        </is>
      </c>
      <c r="B764" t="inlineStr">
        <is>
          <t>£26.78</t>
        </is>
      </c>
      <c r="C764">
        <f>HYPERLINK("https://books.toscrape.com/catalogue/the-complete-stories-and-poems-the-works-of-edgar-allan-poe-cameo-edition_238/index.html","Open Link")</f>
        <v/>
      </c>
    </row>
    <row r="765">
      <c r="A765" t="inlineStr">
        <is>
          <t>The Complete Poems</t>
        </is>
      </c>
      <c r="B765" t="inlineStr">
        <is>
          <t>£41.32</t>
        </is>
      </c>
      <c r="C765">
        <f>HYPERLINK("https://books.toscrape.com/catalogue/the-complete-poems_237/index.html","Open Link")</f>
        <v/>
      </c>
    </row>
    <row r="766">
      <c r="A766" t="inlineStr">
        <is>
          <t>The Catcher in the ...</t>
        </is>
      </c>
      <c r="B766" t="inlineStr">
        <is>
          <t>£24.55</t>
        </is>
      </c>
      <c r="C766">
        <f>HYPERLINK("https://books.toscrape.com/catalogue/the-catcher-in-the-rye_236/index.html","Open Link")</f>
        <v/>
      </c>
    </row>
    <row r="767">
      <c r="A767" t="inlineStr">
        <is>
          <t>The Cat in the ...</t>
        </is>
      </c>
      <c r="B767" t="inlineStr">
        <is>
          <t>£16.26</t>
        </is>
      </c>
      <c r="C767">
        <f>HYPERLINK("https://books.toscrape.com/catalogue/the-cat-in-the-hat-beginner-books-b-1_235/index.html","Open Link")</f>
        <v/>
      </c>
    </row>
    <row r="768">
      <c r="A768" t="inlineStr">
        <is>
          <t>The Case for Christ ...</t>
        </is>
      </c>
      <c r="B768" t="inlineStr">
        <is>
          <t>£47.84</t>
        </is>
      </c>
      <c r="C768">
        <f>HYPERLINK("https://books.toscrape.com/catalogue/the-case-for-christ-cases-for-christianity_234/index.html","Open Link")</f>
        <v/>
      </c>
    </row>
    <row r="769">
      <c r="A769" t="inlineStr">
        <is>
          <t>The Book Thief</t>
        </is>
      </c>
      <c r="B769" t="inlineStr">
        <is>
          <t>£53.49</t>
        </is>
      </c>
      <c r="C769">
        <f>HYPERLINK("https://books.toscrape.com/catalogue/the-book-thief_233/index.html","Open Link")</f>
        <v/>
      </c>
    </row>
    <row r="770">
      <c r="A770" t="inlineStr">
        <is>
          <t>The Book of Basketball: ...</t>
        </is>
      </c>
      <c r="B770" t="inlineStr">
        <is>
          <t>£44.84</t>
        </is>
      </c>
      <c r="C770">
        <f>HYPERLINK("https://books.toscrape.com/catalogue/the-book-of-basketball-the-nba-according-to-the-sports-guy_232/index.html","Open Link")</f>
        <v/>
      </c>
    </row>
    <row r="771">
      <c r="A771" t="inlineStr">
        <is>
          <t>The Blind Side: Evolution ...</t>
        </is>
      </c>
      <c r="B771" t="inlineStr">
        <is>
          <t>£53.71</t>
        </is>
      </c>
      <c r="C771">
        <f>HYPERLINK("https://books.toscrape.com/catalogue/the-blind-side-evolution-of-a-game_231/index.html","Open Link")</f>
        <v/>
      </c>
    </row>
    <row r="772">
      <c r="A772" t="inlineStr">
        <is>
          <t>The Autobiography of Malcolm ...</t>
        </is>
      </c>
      <c r="B772" t="inlineStr">
        <is>
          <t>£23.43</t>
        </is>
      </c>
      <c r="C772">
        <f>HYPERLINK("https://books.toscrape.com/catalogue/the-autobiography-of-malcolm-x_230/index.html","Open Link")</f>
        <v/>
      </c>
    </row>
    <row r="773">
      <c r="A773" t="inlineStr">
        <is>
          <t>The Art of Simple ...</t>
        </is>
      </c>
      <c r="B773" t="inlineStr">
        <is>
          <t>£34.32</t>
        </is>
      </c>
      <c r="C773">
        <f>HYPERLINK("https://books.toscrape.com/catalogue/the-art-of-simple-food-notes-lessons-and-recipes-from-a-delicious-revolution_229/index.html","Open Link")</f>
        <v/>
      </c>
    </row>
    <row r="774">
      <c r="A774" t="inlineStr">
        <is>
          <t>The Art of Fielding</t>
        </is>
      </c>
      <c r="B774" t="inlineStr">
        <is>
          <t>£22.10</t>
        </is>
      </c>
      <c r="C774">
        <f>HYPERLINK("https://books.toscrape.com/catalogue/the-art-of-fielding_228/index.html","Open Link")</f>
        <v/>
      </c>
    </row>
    <row r="775">
      <c r="A775" t="inlineStr">
        <is>
          <t>Surely You're Joking, Mr. ...</t>
        </is>
      </c>
      <c r="B775" t="inlineStr">
        <is>
          <t>£25.83</t>
        </is>
      </c>
      <c r="C775">
        <f>HYPERLINK("https://books.toscrape.com/catalogue/surely-youre-joking-mr-feynman-adventures-of-a-curious-character_227/index.html","Open Link")</f>
        <v/>
      </c>
    </row>
    <row r="776">
      <c r="A776" t="inlineStr">
        <is>
          <t>Stiff: The Curious Lives ...</t>
        </is>
      </c>
      <c r="B776" t="inlineStr">
        <is>
          <t>£36.74</t>
        </is>
      </c>
      <c r="C776">
        <f>HYPERLINK("https://books.toscrape.com/catalogue/stiff-the-curious-lives-of-human-cadavers_226/index.html","Open Link")</f>
        <v/>
      </c>
    </row>
    <row r="777">
      <c r="A777" t="inlineStr">
        <is>
          <t>Spilled Milk: Based on ...</t>
        </is>
      </c>
      <c r="B777" t="inlineStr">
        <is>
          <t>£49.51</t>
        </is>
      </c>
      <c r="C777">
        <f>HYPERLINK("https://books.toscrape.com/catalogue/spilled-milk-based-on-a-true-story_225/index.html","Open Link")</f>
        <v/>
      </c>
    </row>
    <row r="778">
      <c r="A778" t="inlineStr">
        <is>
          <t>Something Borrowed (Darcy &amp; ...</t>
        </is>
      </c>
      <c r="B778" t="inlineStr">
        <is>
          <t>£48.96</t>
        </is>
      </c>
      <c r="C778">
        <f>HYPERLINK("https://books.toscrape.com/catalogue/something-borrowed-darcy-rachel-1_224/index.html","Open Link")</f>
        <v/>
      </c>
    </row>
    <row r="779">
      <c r="A779" t="inlineStr">
        <is>
          <t>Something Blue (Darcy &amp; ...</t>
        </is>
      </c>
      <c r="B779" t="inlineStr">
        <is>
          <t>£54.62</t>
        </is>
      </c>
      <c r="C779">
        <f>HYPERLINK("https://books.toscrape.com/catalogue/something-blue-darcy-rachel-2_223/index.html","Open Link")</f>
        <v/>
      </c>
    </row>
    <row r="780">
      <c r="A780" t="inlineStr">
        <is>
          <t>Soldier (Talon #3)</t>
        </is>
      </c>
      <c r="B780" t="inlineStr">
        <is>
          <t>£24.72</t>
        </is>
      </c>
      <c r="C780">
        <f>HYPERLINK("https://books.toscrape.com/catalogue/soldier-talon-3_222/index.html","Open Link")</f>
        <v/>
      </c>
    </row>
    <row r="781">
      <c r="A781" t="inlineStr">
        <is>
          <t>Shopaholic &amp; Baby (Shopaholic ...</t>
        </is>
      </c>
      <c r="B781" t="inlineStr">
        <is>
          <t>£46.45</t>
        </is>
      </c>
      <c r="C781">
        <f>HYPERLINK("https://books.toscrape.com/catalogue/shopaholic-baby-shopaholic-5_221/index.html","Open Link")</f>
        <v/>
      </c>
    </row>
    <row r="782">
      <c r="A782" t="inlineStr">
        <is>
          <t>Seven Days in the ...</t>
        </is>
      </c>
      <c r="B782" t="inlineStr">
        <is>
          <t>£52.33</t>
        </is>
      </c>
      <c r="C782">
        <f>HYPERLINK("https://books.toscrape.com/catalogue/seven-days-in-the-art-world_220/index.html","Open Link")</f>
        <v/>
      </c>
    </row>
    <row r="783">
      <c r="A783" t="inlineStr">
        <is>
          <t>Seven Brief Lessons on ...</t>
        </is>
      </c>
      <c r="B783" t="inlineStr">
        <is>
          <t>£30.60</t>
        </is>
      </c>
      <c r="C783">
        <f>HYPERLINK("https://books.toscrape.com/catalogue/seven-brief-lessons-on-physics_219/index.html","Open Link")</f>
        <v/>
      </c>
    </row>
    <row r="784">
      <c r="A784" t="inlineStr">
        <is>
          <t>Scarlet (The Lunar Chronicles ...</t>
        </is>
      </c>
      <c r="B784" t="inlineStr">
        <is>
          <t>£14.57</t>
        </is>
      </c>
      <c r="C784">
        <f>HYPERLINK("https://books.toscrape.com/catalogue/scarlet-the-lunar-chronicles-2_218/index.html","Open Link")</f>
        <v/>
      </c>
    </row>
    <row r="785">
      <c r="A785" t="inlineStr">
        <is>
          <t>Sarah's Key</t>
        </is>
      </c>
      <c r="B785" t="inlineStr">
        <is>
          <t>£46.29</t>
        </is>
      </c>
      <c r="C785">
        <f>HYPERLINK("https://books.toscrape.com/catalogue/sarahs-key_217/index.html","Open Link")</f>
        <v/>
      </c>
    </row>
    <row r="786">
      <c r="A786" t="inlineStr">
        <is>
          <t>Saga, Volume 3 (Saga ...</t>
        </is>
      </c>
      <c r="B786" t="inlineStr">
        <is>
          <t>£21.57</t>
        </is>
      </c>
      <c r="C786">
        <f>HYPERLINK("https://books.toscrape.com/catalogue/saga-volume-3-saga-collected-editions-3_216/index.html","Open Link")</f>
        <v/>
      </c>
    </row>
    <row r="787">
      <c r="A787" t="inlineStr">
        <is>
          <t>Running with Scissors</t>
        </is>
      </c>
      <c r="B787" t="inlineStr">
        <is>
          <t>£12.91</t>
        </is>
      </c>
      <c r="C787">
        <f>HYPERLINK("https://books.toscrape.com/catalogue/running-with-scissors_215/index.html","Open Link")</f>
        <v/>
      </c>
    </row>
    <row r="788">
      <c r="A788" t="inlineStr">
        <is>
          <t>Rogue Lawyer (Rogue Lawyer ...</t>
        </is>
      </c>
      <c r="B788" t="inlineStr">
        <is>
          <t>£50.11</t>
        </is>
      </c>
      <c r="C788">
        <f>HYPERLINK("https://books.toscrape.com/catalogue/rogue-lawyer-rogue-lawyer-1_214/index.html","Open Link")</f>
        <v/>
      </c>
    </row>
    <row r="789">
      <c r="A789" t="inlineStr">
        <is>
          <t>Rise of the Rocket ...</t>
        </is>
      </c>
      <c r="B789" t="inlineStr">
        <is>
          <t>£41.67</t>
        </is>
      </c>
      <c r="C789">
        <f>HYPERLINK("https://books.toscrape.com/catalogue/rise-of-the-rocket-girls-the-women-who-propelled-us-from-missiles-to-the-moon-to-mars_213/index.html","Open Link")</f>
        <v/>
      </c>
    </row>
    <row r="790">
      <c r="A790" t="inlineStr">
        <is>
          <t>Rework</t>
        </is>
      </c>
      <c r="B790" t="inlineStr">
        <is>
          <t>£44.88</t>
        </is>
      </c>
      <c r="C790">
        <f>HYPERLINK("https://books.toscrape.com/catalogue/rework_212/index.html","Open Link")</f>
        <v/>
      </c>
    </row>
    <row r="791">
      <c r="A791" t="inlineStr">
        <is>
          <t>Reservations for Two</t>
        </is>
      </c>
      <c r="B791" t="inlineStr">
        <is>
          <t>£11.10</t>
        </is>
      </c>
      <c r="C791">
        <f>HYPERLINK("https://books.toscrape.com/catalogue/reservations-for-two_211/index.html","Open Link")</f>
        <v/>
      </c>
    </row>
    <row r="792">
      <c r="A792" t="inlineStr">
        <is>
          <t>Red: The True Story ...</t>
        </is>
      </c>
      <c r="B792" t="inlineStr">
        <is>
          <t>£28.54</t>
        </is>
      </c>
      <c r="C792">
        <f>HYPERLINK("https://books.toscrape.com/catalogue/red-the-true-story-of-red-riding-hood_210/index.html","Open Link")</f>
        <v/>
      </c>
    </row>
    <row r="793">
      <c r="A793" t="inlineStr">
        <is>
          <t>Ready Player One</t>
        </is>
      </c>
      <c r="B793" t="inlineStr">
        <is>
          <t>£19.07</t>
        </is>
      </c>
      <c r="C793">
        <f>HYPERLINK("https://books.toscrape.com/catalogue/ready-player-one_209/index.html","Open Link")</f>
        <v/>
      </c>
    </row>
    <row r="794">
      <c r="A794" t="inlineStr">
        <is>
          <t>Quiet: The Power of ...</t>
        </is>
      </c>
      <c r="B794" t="inlineStr">
        <is>
          <t>£43.55</t>
        </is>
      </c>
      <c r="C794">
        <f>HYPERLINK("https://books.toscrape.com/catalogue/quiet-the-power-of-introverts-in-a-world-that-cant-stop-talking_208/index.html","Open Link")</f>
        <v/>
      </c>
    </row>
    <row r="795">
      <c r="A795" t="inlineStr">
        <is>
          <t>Prodigy: The Graphic Novel ...</t>
        </is>
      </c>
      <c r="B795" t="inlineStr">
        <is>
          <t>£43.63</t>
        </is>
      </c>
      <c r="C795">
        <f>HYPERLINK("https://books.toscrape.com/catalogue/prodigy-the-graphic-novel-legend-the-graphic-novel-2_207/index.html","Open Link")</f>
        <v/>
      </c>
    </row>
    <row r="796">
      <c r="A796" t="inlineStr">
        <is>
          <t>Persepolis: The Story of ...</t>
        </is>
      </c>
      <c r="B796" t="inlineStr">
        <is>
          <t>£39.13</t>
        </is>
      </c>
      <c r="C796">
        <f>HYPERLINK("https://books.toscrape.com/catalogue/persepolis-the-story-of-a-childhood-persepolis-1-2_206/index.html","Open Link")</f>
        <v/>
      </c>
    </row>
    <row r="797">
      <c r="A797" t="inlineStr">
        <is>
          <t>Packing for Mars: The ...</t>
        </is>
      </c>
      <c r="B797" t="inlineStr">
        <is>
          <t>£56.68</t>
        </is>
      </c>
      <c r="C797">
        <f>HYPERLINK("https://books.toscrape.com/catalogue/packing-for-mars-the-curious-science-of-life-in-the-void_205/index.html","Open Link")</f>
        <v/>
      </c>
    </row>
    <row r="798">
      <c r="A798" t="inlineStr">
        <is>
          <t>Outliers: The Story of ...</t>
        </is>
      </c>
      <c r="B798" t="inlineStr">
        <is>
          <t>£14.16</t>
        </is>
      </c>
      <c r="C798">
        <f>HYPERLINK("https://books.toscrape.com/catalogue/outliers-the-story-of-success_204/index.html","Open Link")</f>
        <v/>
      </c>
    </row>
    <row r="799">
      <c r="A799" t="inlineStr">
        <is>
          <t>Original Fake</t>
        </is>
      </c>
      <c r="B799" t="inlineStr">
        <is>
          <t>£31.45</t>
        </is>
      </c>
      <c r="C799">
        <f>HYPERLINK("https://books.toscrape.com/catalogue/original-fake_203/index.html","Open Link")</f>
        <v/>
      </c>
    </row>
    <row r="800">
      <c r="A800" t="inlineStr">
        <is>
          <t>Orange Is the New ...</t>
        </is>
      </c>
      <c r="B800" t="inlineStr">
        <is>
          <t>£24.61</t>
        </is>
      </c>
      <c r="C800">
        <f>HYPERLINK("https://books.toscrape.com/catalogue/orange-is-the-new-black_202/index.html","Open Link")</f>
        <v/>
      </c>
    </row>
    <row r="801">
      <c r="A801" t="inlineStr">
        <is>
          <t>One for the Money ...</t>
        </is>
      </c>
      <c r="B801" t="inlineStr">
        <is>
          <t>£32.87</t>
        </is>
      </c>
      <c r="C801">
        <f>HYPERLINK("https://books.toscrape.com/catalogue/one-for-the-money-stephanie-plum-1_201/index.html","Open Link")</f>
        <v/>
      </c>
    </row>
    <row r="802">
      <c r="A802" t="inlineStr">
        <is>
          <t>Notes from a Small ...</t>
        </is>
      </c>
      <c r="B802" t="inlineStr">
        <is>
          <t>£40.17</t>
        </is>
      </c>
      <c r="C802">
        <f>HYPERLINK("https://books.toscrape.com/catalogue/notes-from-a-small-island-notes-from-a-small-island-1_200/index.html","Open Link")</f>
        <v/>
      </c>
    </row>
    <row r="803">
      <c r="A803" t="inlineStr">
        <is>
          <t>Night (The Night Trilogy ...</t>
        </is>
      </c>
      <c r="B803" t="inlineStr">
        <is>
          <t>£13.51</t>
        </is>
      </c>
      <c r="C803">
        <f>HYPERLINK("https://books.toscrape.com/catalogue/night-the-night-trilogy-1_199/index.html","Open Link")</f>
        <v/>
      </c>
    </row>
    <row r="804">
      <c r="A804" t="inlineStr">
        <is>
          <t>Neither Here nor There: ...</t>
        </is>
      </c>
      <c r="B804" t="inlineStr">
        <is>
          <t>£38.95</t>
        </is>
      </c>
      <c r="C804">
        <f>HYPERLINK("https://books.toscrape.com/catalogue/neither-here-nor-there-travels-in-europe_198/index.html","Open Link")</f>
        <v/>
      </c>
    </row>
    <row r="805">
      <c r="A805" t="inlineStr">
        <is>
          <t>Naked</t>
        </is>
      </c>
      <c r="B805" t="inlineStr">
        <is>
          <t>£31.69</t>
        </is>
      </c>
      <c r="C805">
        <f>HYPERLINK("https://books.toscrape.com/catalogue/naked_197/index.html","Open Link")</f>
        <v/>
      </c>
    </row>
    <row r="806">
      <c r="A806" t="inlineStr">
        <is>
          <t>Morning Star (Red Rising ...</t>
        </is>
      </c>
      <c r="B806" t="inlineStr">
        <is>
          <t>£29.40</t>
        </is>
      </c>
      <c r="C806">
        <f>HYPERLINK("https://books.toscrape.com/catalogue/morning-star-red-rising-3_196/index.html","Open Link")</f>
        <v/>
      </c>
    </row>
    <row r="807">
      <c r="A807" t="inlineStr">
        <is>
          <t>Miracles from Heaven: A ...</t>
        </is>
      </c>
      <c r="B807" t="inlineStr">
        <is>
          <t>£57.83</t>
        </is>
      </c>
      <c r="C807">
        <f>HYPERLINK("https://books.toscrape.com/catalogue/miracles-from-heaven-a-little-girl-her-journey-to-heaven-and-her-amazing-story-of-healing_195/index.html","Open Link")</f>
        <v/>
      </c>
    </row>
    <row r="808">
      <c r="A808" t="inlineStr">
        <is>
          <t>Midnight Riot (Peter Grant/ ...</t>
        </is>
      </c>
      <c r="B808" t="inlineStr">
        <is>
          <t>£55.46</t>
        </is>
      </c>
      <c r="C808">
        <f>HYPERLINK("https://books.toscrape.com/catalogue/midnight-riot-peter-grant-rivers-of-london-books-1_194/index.html","Open Link")</f>
        <v/>
      </c>
    </row>
    <row r="809">
      <c r="A809" t="inlineStr">
        <is>
          <t>Me Talk Pretty One ...</t>
        </is>
      </c>
      <c r="B809" t="inlineStr">
        <is>
          <t>£57.60</t>
        </is>
      </c>
      <c r="C809">
        <f>HYPERLINK("https://books.toscrape.com/catalogue/me-talk-pretty-one-day_193/index.html","Open Link")</f>
        <v/>
      </c>
    </row>
    <row r="810">
      <c r="A810" t="inlineStr">
        <is>
          <t>Manuscript Found in Accra</t>
        </is>
      </c>
      <c r="B810" t="inlineStr">
        <is>
          <t>£34.98</t>
        </is>
      </c>
      <c r="C810">
        <f>HYPERLINK("https://books.toscrape.com/catalogue/manuscript-found-in-accra_192/index.html","Open Link")</f>
        <v/>
      </c>
    </row>
    <row r="811">
      <c r="A811" t="inlineStr">
        <is>
          <t>Lust &amp; Wonder</t>
        </is>
      </c>
      <c r="B811" t="inlineStr">
        <is>
          <t>£11.87</t>
        </is>
      </c>
      <c r="C811">
        <f>HYPERLINK("https://books.toscrape.com/catalogue/lust-wonder_191/index.html","Open Link")</f>
        <v/>
      </c>
    </row>
    <row r="812">
      <c r="A812" t="inlineStr">
        <is>
          <t>Lila (Gilead #3)</t>
        </is>
      </c>
      <c r="B812" t="inlineStr">
        <is>
          <t>£12.47</t>
        </is>
      </c>
      <c r="C812">
        <f>HYPERLINK("https://books.toscrape.com/catalogue/lila-gilead-3_190/index.html","Open Link")</f>
        <v/>
      </c>
    </row>
    <row r="813">
      <c r="A813" t="inlineStr">
        <is>
          <t>Life, the Universe and ...</t>
        </is>
      </c>
      <c r="B813" t="inlineStr">
        <is>
          <t>£33.26</t>
        </is>
      </c>
      <c r="C813">
        <f>HYPERLINK("https://books.toscrape.com/catalogue/life-the-universe-and-everything-hitchhikers-guide-to-the-galaxy-3_189/index.html","Open Link")</f>
        <v/>
      </c>
    </row>
    <row r="814">
      <c r="A814" t="inlineStr">
        <is>
          <t>Life Without a Recipe</t>
        </is>
      </c>
      <c r="B814" t="inlineStr">
        <is>
          <t>£59.04</t>
        </is>
      </c>
      <c r="C814">
        <f>HYPERLINK("https://books.toscrape.com/catalogue/life-without-a-recipe_188/index.html","Open Link")</f>
        <v/>
      </c>
    </row>
    <row r="815">
      <c r="A815" t="inlineStr">
        <is>
          <t>Life After Life</t>
        </is>
      </c>
      <c r="B815" t="inlineStr">
        <is>
          <t>£26.13</t>
        </is>
      </c>
      <c r="C815">
        <f>HYPERLINK("https://books.toscrape.com/catalogue/life-after-life_187/index.html","Open Link")</f>
        <v/>
      </c>
    </row>
    <row r="816">
      <c r="A816" t="inlineStr">
        <is>
          <t>Letter to a Christian ...</t>
        </is>
      </c>
      <c r="B816" t="inlineStr">
        <is>
          <t>£22.20</t>
        </is>
      </c>
      <c r="C816">
        <f>HYPERLINK("https://books.toscrape.com/catalogue/letter-to-a-christian-nation_186/index.html","Open Link")</f>
        <v/>
      </c>
    </row>
    <row r="817">
      <c r="A817" t="inlineStr">
        <is>
          <t>Let's Pretend This Never ...</t>
        </is>
      </c>
      <c r="B817" t="inlineStr">
        <is>
          <t>£45.11</t>
        </is>
      </c>
      <c r="C817">
        <f>HYPERLINK("https://books.toscrape.com/catalogue/lets-pretend-this-never-happened-a-mostly-true-memoir_185/index.html","Open Link")</f>
        <v/>
      </c>
    </row>
    <row r="818">
      <c r="A818" t="inlineStr">
        <is>
          <t>Legend (Legend #1)</t>
        </is>
      </c>
      <c r="B818" t="inlineStr">
        <is>
          <t>£43.69</t>
        </is>
      </c>
      <c r="C818">
        <f>HYPERLINK("https://books.toscrape.com/catalogue/legend-legend-1_184/index.html","Open Link")</f>
        <v/>
      </c>
    </row>
    <row r="819">
      <c r="A819" t="inlineStr">
        <is>
          <t>Lean In: Women, Work, ...</t>
        </is>
      </c>
      <c r="B819" t="inlineStr">
        <is>
          <t>£25.02</t>
        </is>
      </c>
      <c r="C819">
        <f>HYPERLINK("https://books.toscrape.com/catalogue/lean-in-women-work-and-the-will-to-lead_183/index.html","Open Link")</f>
        <v/>
      </c>
    </row>
    <row r="820">
      <c r="A820" t="inlineStr">
        <is>
          <t>Lamb: The Gospel According ...</t>
        </is>
      </c>
      <c r="B820" t="inlineStr">
        <is>
          <t>£55.50</t>
        </is>
      </c>
      <c r="C820">
        <f>HYPERLINK("https://books.toscrape.com/catalogue/lamb-the-gospel-according-to-biff-christs-childhood-pal_182/index.html","Open Link")</f>
        <v/>
      </c>
    </row>
    <row r="821">
      <c r="A821" t="inlineStr">
        <is>
          <t>Lady Renegades (Rebel Belle ...</t>
        </is>
      </c>
      <c r="B821" t="inlineStr">
        <is>
          <t>£53.04</t>
        </is>
      </c>
      <c r="C821">
        <f>HYPERLINK("https://books.toscrape.com/catalogue/lady-renegades-rebel-belle-3_181/index.html","Open Link")</f>
        <v/>
      </c>
    </row>
    <row r="822">
      <c r="A822" t="inlineStr">
        <is>
          <t>Jurassic Park (Jurassic Park ...</t>
        </is>
      </c>
      <c r="B822" t="inlineStr">
        <is>
          <t>£44.97</t>
        </is>
      </c>
      <c r="C822">
        <f>HYPERLINK("https://books.toscrape.com/catalogue/jurassic-park-jurassic-park-1_180/index.html","Open Link")</f>
        <v/>
      </c>
    </row>
    <row r="823">
      <c r="A823" t="inlineStr">
        <is>
          <t>It's Never Too Late ...</t>
        </is>
      </c>
      <c r="B823" t="inlineStr">
        <is>
          <t>£42.38</t>
        </is>
      </c>
      <c r="C823">
        <f>HYPERLINK("https://books.toscrape.com/catalogue/its-never-too-late-to-begin-again-discovering-creativity-and-meaning-at-midlife-and-beyond_179/index.html","Open Link")</f>
        <v/>
      </c>
    </row>
    <row r="824">
      <c r="A824" t="inlineStr">
        <is>
          <t>Is Everyone Hanging Out ...</t>
        </is>
      </c>
      <c r="B824" t="inlineStr">
        <is>
          <t>£20.11</t>
        </is>
      </c>
      <c r="C824">
        <f>HYPERLINK("https://books.toscrape.com/catalogue/is-everyone-hanging-out-without-me-and-other-concerns_178/index.html","Open Link")</f>
        <v/>
      </c>
    </row>
    <row r="825">
      <c r="A825" t="inlineStr">
        <is>
          <t>Into the Wild</t>
        </is>
      </c>
      <c r="B825" t="inlineStr">
        <is>
          <t>£56.70</t>
        </is>
      </c>
      <c r="C825">
        <f>HYPERLINK("https://books.toscrape.com/catalogue/into-the-wild_177/index.html","Open Link")</f>
        <v/>
      </c>
    </row>
    <row r="826">
      <c r="A826" t="inlineStr">
        <is>
          <t>Inferno (Robert Langdon #4)</t>
        </is>
      </c>
      <c r="B826" t="inlineStr">
        <is>
          <t>£41.00</t>
        </is>
      </c>
      <c r="C826">
        <f>HYPERLINK("https://books.toscrape.com/catalogue/inferno-robert-langdon-4_176/index.html","Open Link")</f>
        <v/>
      </c>
    </row>
    <row r="827">
      <c r="A827" t="inlineStr">
        <is>
          <t>In the Garden of ...</t>
        </is>
      </c>
      <c r="B827" t="inlineStr">
        <is>
          <t>£28.85</t>
        </is>
      </c>
      <c r="C827">
        <f>HYPERLINK("https://books.toscrape.com/catalogue/in-the-garden-of-beasts-love-terror-and-an-american-family-in-hitlers-berlin_175/index.html","Open Link")</f>
        <v/>
      </c>
    </row>
    <row r="828">
      <c r="A828" t="inlineStr">
        <is>
          <t>If I Run (If ...</t>
        </is>
      </c>
      <c r="B828" t="inlineStr">
        <is>
          <t>£49.97</t>
        </is>
      </c>
      <c r="C828">
        <f>HYPERLINK("https://books.toscrape.com/catalogue/if-i-run-if-i-run-1_174/index.html","Open Link")</f>
        <v/>
      </c>
    </row>
    <row r="829">
      <c r="A829" t="inlineStr">
        <is>
          <t>I've Got Your Number</t>
        </is>
      </c>
      <c r="B829" t="inlineStr">
        <is>
          <t>£19.69</t>
        </is>
      </c>
      <c r="C829">
        <f>HYPERLINK("https://books.toscrape.com/catalogue/ive-got-your-number_173/index.html","Open Link")</f>
        <v/>
      </c>
    </row>
    <row r="830">
      <c r="A830" t="inlineStr">
        <is>
          <t>I Am Malala: The ...</t>
        </is>
      </c>
      <c r="B830" t="inlineStr">
        <is>
          <t>£28.88</t>
        </is>
      </c>
      <c r="C830">
        <f>HYPERLINK("https://books.toscrape.com/catalogue/i-am-malala-the-girl-who-stood-up-for-education-and-was-shot-by-the-taliban_172/index.html","Open Link")</f>
        <v/>
      </c>
    </row>
    <row r="831">
      <c r="A831" t="inlineStr">
        <is>
          <t>Hungry Girl Clean &amp; ...</t>
        </is>
      </c>
      <c r="B831" t="inlineStr">
        <is>
          <t>£33.14</t>
        </is>
      </c>
      <c r="C831">
        <f>HYPERLINK("https://books.toscrape.com/catalogue/hungry-girl-clean-hungry-easy-all-natural-recipes-for-healthy-eating-in-the-real-world_171/index.html","Open Link")</f>
        <v/>
      </c>
    </row>
    <row r="832">
      <c r="A832" t="inlineStr">
        <is>
          <t>House of Lost Worlds: ...</t>
        </is>
      </c>
      <c r="B832" t="inlineStr">
        <is>
          <t>£43.70</t>
        </is>
      </c>
      <c r="C832">
        <f>HYPERLINK("https://books.toscrape.com/catalogue/house-of-lost-worlds-dinosaurs-dynasties-and-the-story-of-life-on-earth_170/index.html","Open Link")</f>
        <v/>
      </c>
    </row>
    <row r="833">
      <c r="A833" t="inlineStr">
        <is>
          <t>House of Leaves</t>
        </is>
      </c>
      <c r="B833" t="inlineStr">
        <is>
          <t>£54.89</t>
        </is>
      </c>
      <c r="C833">
        <f>HYPERLINK("https://books.toscrape.com/catalogue/house-of-leaves_169/index.html","Open Link")</f>
        <v/>
      </c>
    </row>
    <row r="834">
      <c r="A834" t="inlineStr">
        <is>
          <t>Horrible Bear!</t>
        </is>
      </c>
      <c r="B834" t="inlineStr">
        <is>
          <t>£37.52</t>
        </is>
      </c>
      <c r="C834">
        <f>HYPERLINK("https://books.toscrape.com/catalogue/horrible-bear_168/index.html","Open Link")</f>
        <v/>
      </c>
    </row>
    <row r="835">
      <c r="A835" t="inlineStr">
        <is>
          <t>Holidays on Ice</t>
        </is>
      </c>
      <c r="B835" t="inlineStr">
        <is>
          <t>£51.07</t>
        </is>
      </c>
      <c r="C835">
        <f>HYPERLINK("https://books.toscrape.com/catalogue/holidays-on-ice_167/index.html","Open Link")</f>
        <v/>
      </c>
    </row>
    <row r="836">
      <c r="A836" t="inlineStr">
        <is>
          <t>Heir to the Sky</t>
        </is>
      </c>
      <c r="B836" t="inlineStr">
        <is>
          <t>£44.07</t>
        </is>
      </c>
      <c r="C836">
        <f>HYPERLINK("https://books.toscrape.com/catalogue/heir-to-the-sky_166/index.html","Open Link")</f>
        <v/>
      </c>
    </row>
    <row r="837">
      <c r="A837" t="inlineStr">
        <is>
          <t>Green Eggs and Ham ...</t>
        </is>
      </c>
      <c r="B837" t="inlineStr">
        <is>
          <t>£10.79</t>
        </is>
      </c>
      <c r="C837">
        <f>HYPERLINK("https://books.toscrape.com/catalogue/green-eggs-and-ham-beginner-books-b-16_165/index.html","Open Link")</f>
        <v/>
      </c>
    </row>
    <row r="838">
      <c r="A838" t="inlineStr">
        <is>
          <t>Grayson, Vol 3: Nemesis ...</t>
        </is>
      </c>
      <c r="B838" t="inlineStr">
        <is>
          <t>£42.72</t>
        </is>
      </c>
      <c r="C838">
        <f>HYPERLINK("https://books.toscrape.com/catalogue/grayson-vol-3-nemesis-grayson-3_164/index.html","Open Link")</f>
        <v/>
      </c>
    </row>
    <row r="839">
      <c r="A839" t="inlineStr">
        <is>
          <t>Gratitude</t>
        </is>
      </c>
      <c r="B839" t="inlineStr">
        <is>
          <t>£26.66</t>
        </is>
      </c>
      <c r="C839">
        <f>HYPERLINK("https://books.toscrape.com/catalogue/gratitude_163/index.html","Open Link")</f>
        <v/>
      </c>
    </row>
    <row r="840">
      <c r="A840" t="inlineStr">
        <is>
          <t>Gone Girl</t>
        </is>
      </c>
      <c r="B840" t="inlineStr">
        <is>
          <t>£37.60</t>
        </is>
      </c>
      <c r="C840">
        <f>HYPERLINK("https://books.toscrape.com/catalogue/gone-girl_162/index.html","Open Link")</f>
        <v/>
      </c>
    </row>
    <row r="841">
      <c r="A841" t="inlineStr">
        <is>
          <t>Golden (Heart of Dread ...</t>
        </is>
      </c>
      <c r="B841" t="inlineStr">
        <is>
          <t>£42.21</t>
        </is>
      </c>
      <c r="C841">
        <f>HYPERLINK("https://books.toscrape.com/catalogue/golden-heart-of-dread-3_161/index.html","Open Link")</f>
        <v/>
      </c>
    </row>
    <row r="842">
      <c r="A842" t="inlineStr">
        <is>
          <t>Girl in the Blue ...</t>
        </is>
      </c>
      <c r="B842" t="inlineStr">
        <is>
          <t>£46.83</t>
        </is>
      </c>
      <c r="C842">
        <f>HYPERLINK("https://books.toscrape.com/catalogue/girl-in-the-blue-coat_160/index.html","Open Link")</f>
        <v/>
      </c>
    </row>
    <row r="843">
      <c r="A843" t="inlineStr">
        <is>
          <t>Fruits Basket, Vol. 3 ...</t>
        </is>
      </c>
      <c r="B843" t="inlineStr">
        <is>
          <t>£45.17</t>
        </is>
      </c>
      <c r="C843">
        <f>HYPERLINK("https://books.toscrape.com/catalogue/fruits-basket-vol-3-fruits-basket-3_159/index.html","Open Link")</f>
        <v/>
      </c>
    </row>
    <row r="844">
      <c r="A844" t="inlineStr">
        <is>
          <t>Friday Night Lights: A ...</t>
        </is>
      </c>
      <c r="B844" t="inlineStr">
        <is>
          <t>£51.22</t>
        </is>
      </c>
      <c r="C844">
        <f>HYPERLINK("https://books.toscrape.com/catalogue/friday-night-lights-a-town-a-team-and-a-dream_158/index.html","Open Link")</f>
        <v/>
      </c>
    </row>
    <row r="845">
      <c r="A845" t="inlineStr">
        <is>
          <t>Fire Bound (Sea Haven/Sisters ...</t>
        </is>
      </c>
      <c r="B845" t="inlineStr">
        <is>
          <t>£21.28</t>
        </is>
      </c>
      <c r="C845">
        <f>HYPERLINK("https://books.toscrape.com/catalogue/fire-bound-sea-havensisters-of-the-heart-5_157/index.html","Open Link")</f>
        <v/>
      </c>
    </row>
    <row r="846">
      <c r="A846" t="inlineStr">
        <is>
          <t>Fifty Shades Freed (Fifty ...</t>
        </is>
      </c>
      <c r="B846" t="inlineStr">
        <is>
          <t>£15.36</t>
        </is>
      </c>
      <c r="C846">
        <f>HYPERLINK("https://books.toscrape.com/catalogue/fifty-shades-freed-fifty-shades-3_156/index.html","Open Link")</f>
        <v/>
      </c>
    </row>
    <row r="847">
      <c r="A847" t="inlineStr">
        <is>
          <t>Fellside</t>
        </is>
      </c>
      <c r="B847" t="inlineStr">
        <is>
          <t>£38.62</t>
        </is>
      </c>
      <c r="C847">
        <f>HYPERLINK("https://books.toscrape.com/catalogue/fellside_155/index.html","Open Link")</f>
        <v/>
      </c>
    </row>
    <row r="848">
      <c r="A848" t="inlineStr">
        <is>
          <t>Extreme Prey (Lucas Davenport ...</t>
        </is>
      </c>
      <c r="B848" t="inlineStr">
        <is>
          <t>£25.40</t>
        </is>
      </c>
      <c r="C848">
        <f>HYPERLINK("https://books.toscrape.com/catalogue/extreme-prey-lucas-davenport-26_154/index.html","Open Link")</f>
        <v/>
      </c>
    </row>
    <row r="849">
      <c r="A849" t="inlineStr">
        <is>
          <t>Eragon (The Inheritance Cycle ...</t>
        </is>
      </c>
      <c r="B849" t="inlineStr">
        <is>
          <t>£43.87</t>
        </is>
      </c>
      <c r="C849">
        <f>HYPERLINK("https://books.toscrape.com/catalogue/eragon-the-inheritance-cycle-1_153/index.html","Open Link")</f>
        <v/>
      </c>
    </row>
    <row r="850">
      <c r="A850" t="inlineStr">
        <is>
          <t>Eclipse (Twilight #3)</t>
        </is>
      </c>
      <c r="B850" t="inlineStr">
        <is>
          <t>£18.74</t>
        </is>
      </c>
      <c r="C850">
        <f>HYPERLINK("https://books.toscrape.com/catalogue/eclipse-twilight-3_152/index.html","Open Link")</f>
        <v/>
      </c>
    </row>
    <row r="851">
      <c r="A851" t="inlineStr">
        <is>
          <t>Dune (Dune #1)</t>
        </is>
      </c>
      <c r="B851" t="inlineStr">
        <is>
          <t>£54.86</t>
        </is>
      </c>
      <c r="C851">
        <f>HYPERLINK("https://books.toscrape.com/catalogue/dune-dune-1_151/index.html","Open Link")</f>
        <v/>
      </c>
    </row>
    <row r="852">
      <c r="A852" t="inlineStr">
        <is>
          <t>Dracula</t>
        </is>
      </c>
      <c r="B852" t="inlineStr">
        <is>
          <t>£52.62</t>
        </is>
      </c>
      <c r="C852">
        <f>HYPERLINK("https://books.toscrape.com/catalogue/dracula_150/index.html","Open Link")</f>
        <v/>
      </c>
    </row>
    <row r="853">
      <c r="A853" t="inlineStr">
        <is>
          <t>Do Androids Dream of ...</t>
        </is>
      </c>
      <c r="B853" t="inlineStr">
        <is>
          <t>£51.48</t>
        </is>
      </c>
      <c r="C853">
        <f>HYPERLINK("https://books.toscrape.com/catalogue/do-androids-dream-of-electric-sheep-blade-runner-1_149/index.html","Open Link")</f>
        <v/>
      </c>
    </row>
    <row r="854">
      <c r="A854" t="inlineStr">
        <is>
          <t>Disrupted: My Misadventure in ...</t>
        </is>
      </c>
      <c r="B854" t="inlineStr">
        <is>
          <t>£15.28</t>
        </is>
      </c>
      <c r="C854">
        <f>HYPERLINK("https://books.toscrape.com/catalogue/disrupted-my-misadventure-in-the-start-up-bubble_148/index.html","Open Link")</f>
        <v/>
      </c>
    </row>
    <row r="855">
      <c r="A855" t="inlineStr">
        <is>
          <t>Dead Wake: The Last ...</t>
        </is>
      </c>
      <c r="B855" t="inlineStr">
        <is>
          <t>£39.24</t>
        </is>
      </c>
      <c r="C855">
        <f>HYPERLINK("https://books.toscrape.com/catalogue/dead-wake-the-last-crossing-of-the-lusitania_147/index.html","Open Link")</f>
        <v/>
      </c>
    </row>
    <row r="856">
      <c r="A856" t="inlineStr">
        <is>
          <t>David and Goliath: Underdogs, ...</t>
        </is>
      </c>
      <c r="B856" t="inlineStr">
        <is>
          <t>£17.81</t>
        </is>
      </c>
      <c r="C856">
        <f>HYPERLINK("https://books.toscrape.com/catalogue/david-and-goliath-underdogs-misfits-and-the-art-of-battling-giants_146/index.html","Open Link")</f>
        <v/>
      </c>
    </row>
    <row r="857">
      <c r="A857" t="inlineStr">
        <is>
          <t>Darkfever (Fever #1)</t>
        </is>
      </c>
      <c r="B857" t="inlineStr">
        <is>
          <t>£56.02</t>
        </is>
      </c>
      <c r="C857">
        <f>HYPERLINK("https://books.toscrape.com/catalogue/darkfever-fever-1_145/index.html","Open Link")</f>
        <v/>
      </c>
    </row>
    <row r="858">
      <c r="A858" t="inlineStr">
        <is>
          <t>Dark Places</t>
        </is>
      </c>
      <c r="B858" t="inlineStr">
        <is>
          <t>£23.90</t>
        </is>
      </c>
      <c r="C858">
        <f>HYPERLINK("https://books.toscrape.com/catalogue/dark-places_144/index.html","Open Link")</f>
        <v/>
      </c>
    </row>
    <row r="859">
      <c r="A859" t="inlineStr">
        <is>
          <t>Crazy Rich Asians (Crazy ...</t>
        </is>
      </c>
      <c r="B859" t="inlineStr">
        <is>
          <t>£49.13</t>
        </is>
      </c>
      <c r="C859">
        <f>HYPERLINK("https://books.toscrape.com/catalogue/crazy-rich-asians-crazy-rich-asians-1_143/index.html","Open Link")</f>
        <v/>
      </c>
    </row>
    <row r="860">
      <c r="A860" t="inlineStr">
        <is>
          <t>Counting Thyme</t>
        </is>
      </c>
      <c r="B860" t="inlineStr">
        <is>
          <t>£10.62</t>
        </is>
      </c>
      <c r="C860">
        <f>HYPERLINK("https://books.toscrape.com/catalogue/counting-thyme_142/index.html","Open Link")</f>
        <v/>
      </c>
    </row>
    <row r="861">
      <c r="A861" t="inlineStr">
        <is>
          <t>Cosmos</t>
        </is>
      </c>
      <c r="B861" t="inlineStr">
        <is>
          <t>£36.17</t>
        </is>
      </c>
      <c r="C861">
        <f>HYPERLINK("https://books.toscrape.com/catalogue/cosmos_141/index.html","Open Link")</f>
        <v/>
      </c>
    </row>
    <row r="862">
      <c r="A862" t="inlineStr">
        <is>
          <t>Civilization and Its Discontents</t>
        </is>
      </c>
      <c r="B862" t="inlineStr">
        <is>
          <t>£59.95</t>
        </is>
      </c>
      <c r="C862">
        <f>HYPERLINK("https://books.toscrape.com/catalogue/civilization-and-its-discontents_140/index.html","Open Link")</f>
        <v/>
      </c>
    </row>
    <row r="863">
      <c r="A863" t="inlineStr">
        <is>
          <t>Cinder (The Lunar Chronicles ...</t>
        </is>
      </c>
      <c r="B863" t="inlineStr">
        <is>
          <t>£26.09</t>
        </is>
      </c>
      <c r="C863">
        <f>HYPERLINK("https://books.toscrape.com/catalogue/cinder-the-lunar-chronicles-1_139/index.html","Open Link")</f>
        <v/>
      </c>
    </row>
    <row r="864">
      <c r="A864" t="inlineStr">
        <is>
          <t>Catastrophic Happiness: Finding Joy ...</t>
        </is>
      </c>
      <c r="B864" t="inlineStr">
        <is>
          <t>£37.35</t>
        </is>
      </c>
      <c r="C864">
        <f>HYPERLINK("https://books.toscrape.com/catalogue/catastrophic-happiness-finding-joy-in-childhoods-messy-years_138/index.html","Open Link")</f>
        <v/>
      </c>
    </row>
    <row r="865">
      <c r="A865" t="inlineStr">
        <is>
          <t>Career of Evil (Cormoran ...</t>
        </is>
      </c>
      <c r="B865" t="inlineStr">
        <is>
          <t>£24.72</t>
        </is>
      </c>
      <c r="C865">
        <f>HYPERLINK("https://books.toscrape.com/catalogue/career-of-evil-cormoran-strike-3_137/index.html","Open Link")</f>
        <v/>
      </c>
    </row>
    <row r="866">
      <c r="A866" t="inlineStr">
        <is>
          <t>Breaking Dawn (Twilight #4)</t>
        </is>
      </c>
      <c r="B866" t="inlineStr">
        <is>
          <t>£35.28</t>
        </is>
      </c>
      <c r="C866">
        <f>HYPERLINK("https://books.toscrape.com/catalogue/breaking-dawn-twilight-4_136/index.html","Open Link")</f>
        <v/>
      </c>
    </row>
    <row r="867">
      <c r="A867" t="inlineStr">
        <is>
          <t>Brave Enough</t>
        </is>
      </c>
      <c r="B867" t="inlineStr">
        <is>
          <t>£51.32</t>
        </is>
      </c>
      <c r="C867">
        <f>HYPERLINK("https://books.toscrape.com/catalogue/brave-enough_135/index.html","Open Link")</f>
        <v/>
      </c>
    </row>
    <row r="868">
      <c r="A868" t="inlineStr">
        <is>
          <t>Boy Meets Boy</t>
        </is>
      </c>
      <c r="B868" t="inlineStr">
        <is>
          <t>£21.12</t>
        </is>
      </c>
      <c r="C868">
        <f>HYPERLINK("https://books.toscrape.com/catalogue/boy-meets-boy_134/index.html","Open Link")</f>
        <v/>
      </c>
    </row>
    <row r="869">
      <c r="A869" t="inlineStr">
        <is>
          <t>Born to Run: A ...</t>
        </is>
      </c>
      <c r="B869" t="inlineStr">
        <is>
          <t>£27.35</t>
        </is>
      </c>
      <c r="C869">
        <f>HYPERLINK("https://books.toscrape.com/catalogue/born-to-run-a-hidden-tribe-superathletes-and-the-greatest-race-the-world-has-never-seen_133/index.html","Open Link")</f>
        <v/>
      </c>
    </row>
    <row r="870">
      <c r="A870" t="inlineStr">
        <is>
          <t>Blink: The Power of ...</t>
        </is>
      </c>
      <c r="B870" t="inlineStr">
        <is>
          <t>£21.74</t>
        </is>
      </c>
      <c r="C870">
        <f>HYPERLINK("https://books.toscrape.com/catalogue/blink-the-power-of-thinking-without-thinking_132/index.html","Open Link")</f>
        <v/>
      </c>
    </row>
    <row r="871">
      <c r="A871" t="inlineStr">
        <is>
          <t>Black Flags: The Rise ...</t>
        </is>
      </c>
      <c r="B871" t="inlineStr">
        <is>
          <t>£40.87</t>
        </is>
      </c>
      <c r="C871">
        <f>HYPERLINK("https://books.toscrape.com/catalogue/black-flags-the-rise-of-isis_131/index.html","Open Link")</f>
        <v/>
      </c>
    </row>
    <row r="872">
      <c r="A872" t="inlineStr">
        <is>
          <t>Black Butler, Vol. 1 ...</t>
        </is>
      </c>
      <c r="B872" t="inlineStr">
        <is>
          <t>£49.31</t>
        </is>
      </c>
      <c r="C872">
        <f>HYPERLINK("https://books.toscrape.com/catalogue/black-butler-vol-1-black-butler-1_130/index.html","Open Link")</f>
        <v/>
      </c>
    </row>
    <row r="873">
      <c r="A873" t="inlineStr">
        <is>
          <t>Big Little Lies</t>
        </is>
      </c>
      <c r="B873" t="inlineStr">
        <is>
          <t>£22.11</t>
        </is>
      </c>
      <c r="C873">
        <f>HYPERLINK("https://books.toscrape.com/catalogue/big-little-lies_129/index.html","Open Link")</f>
        <v/>
      </c>
    </row>
    <row r="874">
      <c r="A874" t="inlineStr">
        <is>
          <t>Between Shades of Gray</t>
        </is>
      </c>
      <c r="B874" t="inlineStr">
        <is>
          <t>£20.79</t>
        </is>
      </c>
      <c r="C874">
        <f>HYPERLINK("https://books.toscrape.com/catalogue/between-shades-of-gray_128/index.html","Open Link")</f>
        <v/>
      </c>
    </row>
    <row r="875">
      <c r="A875" t="inlineStr">
        <is>
          <t>Best of My Love ...</t>
        </is>
      </c>
      <c r="B875" t="inlineStr">
        <is>
          <t>£27.41</t>
        </is>
      </c>
      <c r="C875">
        <f>HYPERLINK("https://books.toscrape.com/catalogue/best-of-my-love-fools-gold-20_127/index.html","Open Link")</f>
        <v/>
      </c>
    </row>
    <row r="876">
      <c r="A876" t="inlineStr">
        <is>
          <t>Beowulf</t>
        </is>
      </c>
      <c r="B876" t="inlineStr">
        <is>
          <t>£38.35</t>
        </is>
      </c>
      <c r="C876">
        <f>HYPERLINK("https://books.toscrape.com/catalogue/beowulf_126/index.html","Open Link")</f>
        <v/>
      </c>
    </row>
    <row r="877">
      <c r="A877" t="inlineStr">
        <is>
          <t>Beautiful Creatures (Caster Chronicles ...</t>
        </is>
      </c>
      <c r="B877" t="inlineStr">
        <is>
          <t>£21.55</t>
        </is>
      </c>
      <c r="C877">
        <f>HYPERLINK("https://books.toscrape.com/catalogue/beautiful-creatures-caster-chronicles-1_125/index.html","Open Link")</f>
        <v/>
      </c>
    </row>
    <row r="878">
      <c r="A878" t="inlineStr">
        <is>
          <t>Awkward</t>
        </is>
      </c>
      <c r="B878" t="inlineStr">
        <is>
          <t>£38.02</t>
        </is>
      </c>
      <c r="C878">
        <f>HYPERLINK("https://books.toscrape.com/catalogue/awkward_124/index.html","Open Link")</f>
        <v/>
      </c>
    </row>
    <row r="879">
      <c r="A879" t="inlineStr">
        <is>
          <t>Ash</t>
        </is>
      </c>
      <c r="B879" t="inlineStr">
        <is>
          <t>£22.06</t>
        </is>
      </c>
      <c r="C879">
        <f>HYPERLINK("https://books.toscrape.com/catalogue/ash_123/index.html","Open Link")</f>
        <v/>
      </c>
    </row>
    <row r="880">
      <c r="A880" t="inlineStr">
        <is>
          <t>Are We There Yet?</t>
        </is>
      </c>
      <c r="B880" t="inlineStr">
        <is>
          <t>£10.66</t>
        </is>
      </c>
      <c r="C880">
        <f>HYPERLINK("https://books.toscrape.com/catalogue/are-we-there-yet_122/index.html","Open Link")</f>
        <v/>
      </c>
    </row>
    <row r="881">
      <c r="A881" t="inlineStr">
        <is>
          <t>Are We Smart Enough ...</t>
        </is>
      </c>
      <c r="B881" t="inlineStr">
        <is>
          <t>£56.58</t>
        </is>
      </c>
      <c r="C881">
        <f>HYPERLINK("https://books.toscrape.com/catalogue/are-we-smart-enough-to-know-how-smart-animals-are_121/index.html","Open Link")</f>
        <v/>
      </c>
    </row>
    <row r="882">
      <c r="A882" t="inlineStr">
        <is>
          <t>Annie on My Mind</t>
        </is>
      </c>
      <c r="B882" t="inlineStr">
        <is>
          <t>£36.83</t>
        </is>
      </c>
      <c r="C882">
        <f>HYPERLINK("https://books.toscrape.com/catalogue/annie-on-my-mind_120/index.html","Open Link")</f>
        <v/>
      </c>
    </row>
    <row r="883">
      <c r="A883" t="inlineStr">
        <is>
          <t>And Then There Were ...</t>
        </is>
      </c>
      <c r="B883" t="inlineStr">
        <is>
          <t>£35.01</t>
        </is>
      </c>
      <c r="C883">
        <f>HYPERLINK("https://books.toscrape.com/catalogue/and-then-there-were-none_119/index.html","Open Link")</f>
        <v/>
      </c>
    </row>
    <row r="884">
      <c r="A884" t="inlineStr">
        <is>
          <t>A Walk in the ...</t>
        </is>
      </c>
      <c r="B884" t="inlineStr">
        <is>
          <t>£30.48</t>
        </is>
      </c>
      <c r="C884">
        <f>HYPERLINK("https://books.toscrape.com/catalogue/a-walk-in-the-woods-rediscovering-america-on-the-appalachian-trail_118/index.html","Open Link")</f>
        <v/>
      </c>
    </row>
    <row r="885">
      <c r="A885" t="inlineStr">
        <is>
          <t>A Visit from the ...</t>
        </is>
      </c>
      <c r="B885" t="inlineStr">
        <is>
          <t>£14.08</t>
        </is>
      </c>
      <c r="C885">
        <f>HYPERLINK("https://books.toscrape.com/catalogue/a-visit-from-the-goon-squad_117/index.html","Open Link")</f>
        <v/>
      </c>
    </row>
    <row r="886">
      <c r="A886" t="inlineStr">
        <is>
          <t>A Storm of Swords ...</t>
        </is>
      </c>
      <c r="B886" t="inlineStr">
        <is>
          <t>£31.22</t>
        </is>
      </c>
      <c r="C886">
        <f>HYPERLINK("https://books.toscrape.com/catalogue/a-storm-of-swords-a-song-of-ice-and-fire-3_116/index.html","Open Link")</f>
        <v/>
      </c>
    </row>
    <row r="887">
      <c r="A887" t="inlineStr">
        <is>
          <t>A Heartbreaking Work of ...</t>
        </is>
      </c>
      <c r="B887" t="inlineStr">
        <is>
          <t>£54.29</t>
        </is>
      </c>
      <c r="C887">
        <f>HYPERLINK("https://books.toscrape.com/catalogue/a-heartbreaking-work-of-staggering-genius_115/index.html","Open Link")</f>
        <v/>
      </c>
    </row>
    <row r="888">
      <c r="A888" t="inlineStr">
        <is>
          <t>8 Keys to Mental ...</t>
        </is>
      </c>
      <c r="B888" t="inlineStr">
        <is>
          <t>£31.04</t>
        </is>
      </c>
      <c r="C888">
        <f>HYPERLINK("https://books.toscrape.com/catalogue/8-keys-to-mental-health-through-exercise_114/index.html","Open Link")</f>
        <v/>
      </c>
    </row>
    <row r="889">
      <c r="A889" t="inlineStr">
        <is>
          <t>#GIRLBOSS</t>
        </is>
      </c>
      <c r="B889" t="inlineStr">
        <is>
          <t>£50.96</t>
        </is>
      </c>
      <c r="C889">
        <f>HYPERLINK("https://books.toscrape.com/catalogue/girlboss_113/index.html","Open Link")</f>
        <v/>
      </c>
    </row>
    <row r="890">
      <c r="A890" t="inlineStr">
        <is>
          <t>The Suffragettes (Little Black ...</t>
        </is>
      </c>
      <c r="B890" t="inlineStr">
        <is>
          <t>£11.89</t>
        </is>
      </c>
      <c r="C890">
        <f>HYPERLINK("https://books.toscrape.com/catalogue/the-suffragettes-little-black-classics-96_112/index.html","Open Link")</f>
        <v/>
      </c>
    </row>
    <row r="891">
      <c r="A891" t="inlineStr">
        <is>
          <t>The Sense of an ...</t>
        </is>
      </c>
      <c r="B891" t="inlineStr">
        <is>
          <t>£31.38</t>
        </is>
      </c>
      <c r="C891">
        <f>HYPERLINK("https://books.toscrape.com/catalogue/the-sense-of-an-ending_111/index.html","Open Link")</f>
        <v/>
      </c>
    </row>
    <row r="892">
      <c r="A892" t="inlineStr">
        <is>
          <t>The Sandman, Vol. 2: ...</t>
        </is>
      </c>
      <c r="B892" t="inlineStr">
        <is>
          <t>£54.81</t>
        </is>
      </c>
      <c r="C892">
        <f>HYPERLINK("https://books.toscrape.com/catalogue/the-sandman-vol-2-the-dolls-house-the-sandman-volumes-2_110/index.html","Open Link")</f>
        <v/>
      </c>
    </row>
    <row r="893">
      <c r="A893" t="inlineStr">
        <is>
          <t>The Course of Love</t>
        </is>
      </c>
      <c r="B893" t="inlineStr">
        <is>
          <t>£16.78</t>
        </is>
      </c>
      <c r="C893">
        <f>HYPERLINK("https://books.toscrape.com/catalogue/the-course-of-love_109/index.html","Open Link")</f>
        <v/>
      </c>
    </row>
    <row r="894">
      <c r="A894" t="inlineStr">
        <is>
          <t>Sugar Rush (Offensive Line ...</t>
        </is>
      </c>
      <c r="B894" t="inlineStr">
        <is>
          <t>£24.42</t>
        </is>
      </c>
      <c r="C894">
        <f>HYPERLINK("https://books.toscrape.com/catalogue/sugar-rush-offensive-line-2_108/index.html","Open Link")</f>
        <v/>
      </c>
    </row>
    <row r="895">
      <c r="A895" t="inlineStr">
        <is>
          <t>Saga, Volume 2 (Saga ...</t>
        </is>
      </c>
      <c r="B895" t="inlineStr">
        <is>
          <t>£11.75</t>
        </is>
      </c>
      <c r="C895">
        <f>HYPERLINK("https://books.toscrape.com/catalogue/saga-volume-2-saga-collected-editions-2_107/index.html","Open Link")</f>
        <v/>
      </c>
    </row>
    <row r="896">
      <c r="A896" t="inlineStr">
        <is>
          <t>Run, Spot, Run: The ...</t>
        </is>
      </c>
      <c r="B896" t="inlineStr">
        <is>
          <t>£20.02</t>
        </is>
      </c>
      <c r="C896">
        <f>HYPERLINK("https://books.toscrape.com/catalogue/run-spot-run-the-ethics-of-keeping-pets_106/index.html","Open Link")</f>
        <v/>
      </c>
    </row>
    <row r="897">
      <c r="A897" t="inlineStr">
        <is>
          <t>New Moon (Twilight #2)</t>
        </is>
      </c>
      <c r="B897" t="inlineStr">
        <is>
          <t>£12.86</t>
        </is>
      </c>
      <c r="C897">
        <f>HYPERLINK("https://books.toscrape.com/catalogue/new-moon-twilight-2_105/index.html","Open Link")</f>
        <v/>
      </c>
    </row>
    <row r="898">
      <c r="A898" t="inlineStr">
        <is>
          <t>Life</t>
        </is>
      </c>
      <c r="B898" t="inlineStr">
        <is>
          <t>£31.58</t>
        </is>
      </c>
      <c r="C898">
        <f>HYPERLINK("https://books.toscrape.com/catalogue/life_104/index.html","Open Link")</f>
        <v/>
      </c>
    </row>
    <row r="899">
      <c r="A899" t="inlineStr">
        <is>
          <t>Kindle Paperwhite User's Guide</t>
        </is>
      </c>
      <c r="B899" t="inlineStr">
        <is>
          <t>£34.00</t>
        </is>
      </c>
      <c r="C899">
        <f>HYPERLINK("https://books.toscrape.com/catalogue/kindle-paperwhite-users-guide_103/index.html","Open Link")</f>
        <v/>
      </c>
    </row>
    <row r="900">
      <c r="A900" t="inlineStr">
        <is>
          <t>H is for Hawk</t>
        </is>
      </c>
      <c r="B900" t="inlineStr">
        <is>
          <t>£57.42</t>
        </is>
      </c>
      <c r="C900">
        <f>HYPERLINK("https://books.toscrape.com/catalogue/h-is-for-hawk_102/index.html","Open Link")</f>
        <v/>
      </c>
    </row>
    <row r="901">
      <c r="A901" t="inlineStr">
        <is>
          <t>Girl Online On Tour ...</t>
        </is>
      </c>
      <c r="B901" t="inlineStr">
        <is>
          <t>£53.47</t>
        </is>
      </c>
      <c r="C901">
        <f>HYPERLINK("https://books.toscrape.com/catalogue/girl-online-on-tour-girl-online-2_101/index.html","Open Link")</f>
        <v/>
      </c>
    </row>
    <row r="902">
      <c r="A902" t="inlineStr">
        <is>
          <t>Fruits Basket, Vol. 2 ...</t>
        </is>
      </c>
      <c r="B902" t="inlineStr">
        <is>
          <t>£11.64</t>
        </is>
      </c>
      <c r="C902">
        <f>HYPERLINK("https://books.toscrape.com/catalogue/fruits-basket-vol-2-fruits-basket-2_100/index.html","Open Link")</f>
        <v/>
      </c>
    </row>
    <row r="903">
      <c r="A903" t="inlineStr">
        <is>
          <t>Diary of a Minecraft ...</t>
        </is>
      </c>
      <c r="B903" t="inlineStr">
        <is>
          <t>£52.88</t>
        </is>
      </c>
      <c r="C903">
        <f>HYPERLINK("https://books.toscrape.com/catalogue/diary-of-a-minecraft-zombie-book-1-a-scare-of-a-dare-an-unofficial-minecraft-book_99/index.html","Open Link")</f>
        <v/>
      </c>
    </row>
    <row r="904">
      <c r="A904" t="inlineStr">
        <is>
          <t>Y: The Last Man, ...</t>
        </is>
      </c>
      <c r="B904" t="inlineStr">
        <is>
          <t>£18.51</t>
        </is>
      </c>
      <c r="C904">
        <f>HYPERLINK("https://books.toscrape.com/catalogue/y-the-last-man-vol-1-unmanned-y-the-last-man-1_98/index.html","Open Link")</f>
        <v/>
      </c>
    </row>
    <row r="905">
      <c r="A905" t="inlineStr">
        <is>
          <t>While You Were Mine</t>
        </is>
      </c>
      <c r="B905" t="inlineStr">
        <is>
          <t>£41.32</t>
        </is>
      </c>
      <c r="C905">
        <f>HYPERLINK("https://books.toscrape.com/catalogue/while-you-were-mine_97/index.html","Open Link")</f>
        <v/>
      </c>
    </row>
    <row r="906">
      <c r="A906" t="inlineStr">
        <is>
          <t>Where Lightning Strikes (Bleeding ...</t>
        </is>
      </c>
      <c r="B906" t="inlineStr">
        <is>
          <t>£39.77</t>
        </is>
      </c>
      <c r="C906">
        <f>HYPERLINK("https://books.toscrape.com/catalogue/where-lightning-strikes-bleeding-stars-3_96/index.html","Open Link")</f>
        <v/>
      </c>
    </row>
    <row r="907">
      <c r="A907" t="inlineStr">
        <is>
          <t>When I'm Gone</t>
        </is>
      </c>
      <c r="B907" t="inlineStr">
        <is>
          <t>£51.96</t>
        </is>
      </c>
      <c r="C907">
        <f>HYPERLINK("https://books.toscrape.com/catalogue/when-im-gone_95/index.html","Open Link")</f>
        <v/>
      </c>
    </row>
    <row r="908">
      <c r="A908" t="inlineStr">
        <is>
          <t>Ways of Seeing</t>
        </is>
      </c>
      <c r="B908" t="inlineStr">
        <is>
          <t>£39.51</t>
        </is>
      </c>
      <c r="C908">
        <f>HYPERLINK("https://books.toscrape.com/catalogue/ways-of-seeing_94/index.html","Open Link")</f>
        <v/>
      </c>
    </row>
    <row r="909">
      <c r="A909" t="inlineStr">
        <is>
          <t>Vampire Knight, Vol. 1 ...</t>
        </is>
      </c>
      <c r="B909" t="inlineStr">
        <is>
          <t>£15.40</t>
        </is>
      </c>
      <c r="C909">
        <f>HYPERLINK("https://books.toscrape.com/catalogue/vampire-knight-vol-1-vampire-knight-1_93/index.html","Open Link")</f>
        <v/>
      </c>
    </row>
    <row r="910">
      <c r="A910" t="inlineStr">
        <is>
          <t>Vampire Girl (Vampire Girl ...</t>
        </is>
      </c>
      <c r="B910" t="inlineStr">
        <is>
          <t>£53.82</t>
        </is>
      </c>
      <c r="C910">
        <f>HYPERLINK("https://books.toscrape.com/catalogue/vampire-girl-vampire-girl-1_92/index.html","Open Link")</f>
        <v/>
      </c>
    </row>
    <row r="911">
      <c r="A911" t="inlineStr">
        <is>
          <t>Twenty Love Poems and ...</t>
        </is>
      </c>
      <c r="B911" t="inlineStr">
        <is>
          <t>£30.95</t>
        </is>
      </c>
      <c r="C911">
        <f>HYPERLINK("https://books.toscrape.com/catalogue/twenty-love-poems-and-a-song-of-despair_91/index.html","Open Link")</f>
        <v/>
      </c>
    </row>
    <row r="912">
      <c r="A912" t="inlineStr">
        <is>
          <t>Travels with Charley: In ...</t>
        </is>
      </c>
      <c r="B912" t="inlineStr">
        <is>
          <t>£57.82</t>
        </is>
      </c>
      <c r="C912">
        <f>HYPERLINK("https://books.toscrape.com/catalogue/travels-with-charley-in-search-of-america_90/index.html","Open Link")</f>
        <v/>
      </c>
    </row>
    <row r="913">
      <c r="A913" t="inlineStr">
        <is>
          <t>Three Wishes (River of ...</t>
        </is>
      </c>
      <c r="B913" t="inlineStr">
        <is>
          <t>£44.18</t>
        </is>
      </c>
      <c r="C913">
        <f>HYPERLINK("https://books.toscrape.com/catalogue/three-wishes-river-of-time-california-1_89/index.html","Open Link")</f>
        <v/>
      </c>
    </row>
    <row r="914">
      <c r="A914" t="inlineStr">
        <is>
          <t>This One Moment (Pushing ...</t>
        </is>
      </c>
      <c r="B914" t="inlineStr">
        <is>
          <t>£48.71</t>
        </is>
      </c>
      <c r="C914">
        <f>HYPERLINK("https://books.toscrape.com/catalogue/this-one-moment-pushing-limits-1_88/index.html","Open Link")</f>
        <v/>
      </c>
    </row>
    <row r="915">
      <c r="A915" t="inlineStr">
        <is>
          <t>The Zombie Room</t>
        </is>
      </c>
      <c r="B915" t="inlineStr">
        <is>
          <t>£19.69</t>
        </is>
      </c>
      <c r="C915">
        <f>HYPERLINK("https://books.toscrape.com/catalogue/the-zombie-room_87/index.html","Open Link")</f>
        <v/>
      </c>
    </row>
    <row r="916">
      <c r="A916" t="inlineStr">
        <is>
          <t>The Wicked + The ...</t>
        </is>
      </c>
      <c r="B916" t="inlineStr">
        <is>
          <t>£36.52</t>
        </is>
      </c>
      <c r="C916">
        <f>HYPERLINK("https://books.toscrape.com/catalogue/the-wicked-the-divine-vol-1-the-faust-act-the-wicked-the-divine_86/index.html","Open Link")</f>
        <v/>
      </c>
    </row>
    <row r="917">
      <c r="A917" t="inlineStr">
        <is>
          <t>The Tumor</t>
        </is>
      </c>
      <c r="B917" t="inlineStr">
        <is>
          <t>£41.56</t>
        </is>
      </c>
      <c r="C917">
        <f>HYPERLINK("https://books.toscrape.com/catalogue/the-tumor_85/index.html","Open Link")</f>
        <v/>
      </c>
    </row>
    <row r="918">
      <c r="A918" t="inlineStr">
        <is>
          <t>The Story of Hong ...</t>
        </is>
      </c>
      <c r="B918" t="inlineStr">
        <is>
          <t>£43.19</t>
        </is>
      </c>
      <c r="C918">
        <f>HYPERLINK("https://books.toscrape.com/catalogue/the-story-of-hong-gildong_84/index.html","Open Link")</f>
        <v/>
      </c>
    </row>
    <row r="919">
      <c r="A919" t="inlineStr">
        <is>
          <t>The Silent Wife</t>
        </is>
      </c>
      <c r="B919" t="inlineStr">
        <is>
          <t>£12.34</t>
        </is>
      </c>
      <c r="C919">
        <f>HYPERLINK("https://books.toscrape.com/catalogue/the-silent-wife_83/index.html","Open Link")</f>
        <v/>
      </c>
    </row>
    <row r="920">
      <c r="A920" t="inlineStr">
        <is>
          <t>The Silent Twin (Detective ...</t>
        </is>
      </c>
      <c r="B920" t="inlineStr">
        <is>
          <t>£36.25</t>
        </is>
      </c>
      <c r="C920">
        <f>HYPERLINK("https://books.toscrape.com/catalogue/the-silent-twin-detective-jennifer-knight-3_82/index.html","Open Link")</f>
        <v/>
      </c>
    </row>
    <row r="921">
      <c r="A921" t="inlineStr">
        <is>
          <t>The Selfish Gene</t>
        </is>
      </c>
      <c r="B921" t="inlineStr">
        <is>
          <t>£29.45</t>
        </is>
      </c>
      <c r="C921">
        <f>HYPERLINK("https://books.toscrape.com/catalogue/the-selfish-gene_81/index.html","Open Link")</f>
        <v/>
      </c>
    </row>
    <row r="922">
      <c r="A922" t="inlineStr">
        <is>
          <t>The Secret Healer</t>
        </is>
      </c>
      <c r="B922" t="inlineStr">
        <is>
          <t>£34.56</t>
        </is>
      </c>
      <c r="C922">
        <f>HYPERLINK("https://books.toscrape.com/catalogue/the-secret-healer_80/index.html","Open Link")</f>
        <v/>
      </c>
    </row>
    <row r="923">
      <c r="A923" t="inlineStr">
        <is>
          <t>The Sandman, Vol. 1: ...</t>
        </is>
      </c>
      <c r="B923" t="inlineStr">
        <is>
          <t>£54.12</t>
        </is>
      </c>
      <c r="C923">
        <f>HYPERLINK("https://books.toscrape.com/catalogue/the-sandman-vol-1-preludes-and-nocturnes-the-sandman-volumes-1_79/index.html","Open Link")</f>
        <v/>
      </c>
    </row>
    <row r="924">
      <c r="A924" t="inlineStr">
        <is>
          <t>The Republic</t>
        </is>
      </c>
      <c r="B924" t="inlineStr">
        <is>
          <t>£33.78</t>
        </is>
      </c>
      <c r="C924">
        <f>HYPERLINK("https://books.toscrape.com/catalogue/the-republic_78/index.html","Open Link")</f>
        <v/>
      </c>
    </row>
    <row r="925">
      <c r="A925" t="inlineStr">
        <is>
          <t>The Odyssey</t>
        </is>
      </c>
      <c r="B925" t="inlineStr">
        <is>
          <t>£29.64</t>
        </is>
      </c>
      <c r="C925">
        <f>HYPERLINK("https://books.toscrape.com/catalogue/the-odyssey_77/index.html","Open Link")</f>
        <v/>
      </c>
    </row>
    <row r="926">
      <c r="A926" t="inlineStr">
        <is>
          <t>The No. 1 Ladies' ...</t>
        </is>
      </c>
      <c r="B926" t="inlineStr">
        <is>
          <t>£57.70</t>
        </is>
      </c>
      <c r="C926">
        <f>HYPERLINK("https://books.toscrape.com/catalogue/the-no-1-ladies-detective-agency-no-1-ladies-detective-agency-1_76/index.html","Open Link")</f>
        <v/>
      </c>
    </row>
    <row r="927">
      <c r="A927" t="inlineStr">
        <is>
          <t>The Nicomachean Ethics</t>
        </is>
      </c>
      <c r="B927" t="inlineStr">
        <is>
          <t>£36.34</t>
        </is>
      </c>
      <c r="C927">
        <f>HYPERLINK("https://books.toscrape.com/catalogue/the-nicomachean-ethics_75/index.html","Open Link")</f>
        <v/>
      </c>
    </row>
    <row r="928">
      <c r="A928" t="inlineStr">
        <is>
          <t>The Name of the ...</t>
        </is>
      </c>
      <c r="B928" t="inlineStr">
        <is>
          <t>£50.59</t>
        </is>
      </c>
      <c r="C928">
        <f>HYPERLINK("https://books.toscrape.com/catalogue/the-name-of-the-wind-the-kingkiller-chronicle-1_74/index.html","Open Link")</f>
        <v/>
      </c>
    </row>
    <row r="929">
      <c r="A929" t="inlineStr">
        <is>
          <t>The Mirror &amp; the ...</t>
        </is>
      </c>
      <c r="B929" t="inlineStr">
        <is>
          <t>£29.38</t>
        </is>
      </c>
      <c r="C929">
        <f>HYPERLINK("https://books.toscrape.com/catalogue/the-mirror-the-maze-the-wrath-and-the-dawn-15_73/index.html","Open Link")</f>
        <v/>
      </c>
    </row>
    <row r="930">
      <c r="A930" t="inlineStr">
        <is>
          <t>The Little Prince</t>
        </is>
      </c>
      <c r="B930" t="inlineStr">
        <is>
          <t>£45.42</t>
        </is>
      </c>
      <c r="C930">
        <f>HYPERLINK("https://books.toscrape.com/catalogue/the-little-prince_72/index.html","Open Link")</f>
        <v/>
      </c>
    </row>
    <row r="931">
      <c r="A931" t="inlineStr">
        <is>
          <t>The Light of the ...</t>
        </is>
      </c>
      <c r="B931" t="inlineStr">
        <is>
          <t>£54.43</t>
        </is>
      </c>
      <c r="C931">
        <f>HYPERLINK("https://books.toscrape.com/catalogue/the-light-of-the-fireflies_71/index.html","Open Link")</f>
        <v/>
      </c>
    </row>
    <row r="932">
      <c r="A932" t="inlineStr">
        <is>
          <t>The Last Girl (The ...</t>
        </is>
      </c>
      <c r="B932" t="inlineStr">
        <is>
          <t>£36.26</t>
        </is>
      </c>
      <c r="C932">
        <f>HYPERLINK("https://books.toscrape.com/catalogue/the-last-girl-the-dominion-trilogy-1_70/index.html","Open Link")</f>
        <v/>
      </c>
    </row>
    <row r="933">
      <c r="A933" t="inlineStr">
        <is>
          <t>The Iliad</t>
        </is>
      </c>
      <c r="B933" t="inlineStr">
        <is>
          <t>£16.16</t>
        </is>
      </c>
      <c r="C933">
        <f>HYPERLINK("https://books.toscrape.com/catalogue/the-iliad_69/index.html","Open Link")</f>
        <v/>
      </c>
    </row>
    <row r="934">
      <c r="A934" t="inlineStr">
        <is>
          <t>The Hook Up (Game ...</t>
        </is>
      </c>
      <c r="B934" t="inlineStr">
        <is>
          <t>£36.29</t>
        </is>
      </c>
      <c r="C934">
        <f>HYPERLINK("https://books.toscrape.com/catalogue/the-hook-up-game-on-1_68/index.html","Open Link")</f>
        <v/>
      </c>
    </row>
    <row r="935">
      <c r="A935" t="inlineStr">
        <is>
          <t>The Haters</t>
        </is>
      </c>
      <c r="B935" t="inlineStr">
        <is>
          <t>£27.89</t>
        </is>
      </c>
      <c r="C935">
        <f>HYPERLINK("https://books.toscrape.com/catalogue/the-haters_67/index.html","Open Link")</f>
        <v/>
      </c>
    </row>
    <row r="936">
      <c r="A936" t="inlineStr">
        <is>
          <t>The Girl You Lost</t>
        </is>
      </c>
      <c r="B936" t="inlineStr">
        <is>
          <t>£12.29</t>
        </is>
      </c>
      <c r="C936">
        <f>HYPERLINK("https://books.toscrape.com/catalogue/the-girl-you-lost_66/index.html","Open Link")</f>
        <v/>
      </c>
    </row>
    <row r="937">
      <c r="A937" t="inlineStr">
        <is>
          <t>The Girl In The ...</t>
        </is>
      </c>
      <c r="B937" t="inlineStr">
        <is>
          <t>£15.85</t>
        </is>
      </c>
      <c r="C937">
        <f>HYPERLINK("https://books.toscrape.com/catalogue/the-girl-in-the-ice-dci-erika-foster-1_65/index.html","Open Link")</f>
        <v/>
      </c>
    </row>
    <row r="938">
      <c r="A938" t="inlineStr">
        <is>
          <t>The End of the ...</t>
        </is>
      </c>
      <c r="B938" t="inlineStr">
        <is>
          <t>£14.40</t>
        </is>
      </c>
      <c r="C938">
        <f>HYPERLINK("https://books.toscrape.com/catalogue/the-end-of-the-jesus-era-an-investigation-1_64/index.html","Open Link")</f>
        <v/>
      </c>
    </row>
    <row r="939">
      <c r="A939" t="inlineStr">
        <is>
          <t>The Edge of Reason ...</t>
        </is>
      </c>
      <c r="B939" t="inlineStr">
        <is>
          <t>£19.18</t>
        </is>
      </c>
      <c r="C939">
        <f>HYPERLINK("https://books.toscrape.com/catalogue/the-edge-of-reason-bridget-jones-2_63/index.html","Open Link")</f>
        <v/>
      </c>
    </row>
    <row r="940">
      <c r="A940" t="inlineStr">
        <is>
          <t>The Complete Maus (Maus ...</t>
        </is>
      </c>
      <c r="B940" t="inlineStr">
        <is>
          <t>£10.64</t>
        </is>
      </c>
      <c r="C940">
        <f>HYPERLINK("https://books.toscrape.com/catalogue/the-complete-maus-maus-1-2_62/index.html","Open Link")</f>
        <v/>
      </c>
    </row>
    <row r="941">
      <c r="A941" t="inlineStr">
        <is>
          <t>The Communist Manifesto</t>
        </is>
      </c>
      <c r="B941" t="inlineStr">
        <is>
          <t>£14.76</t>
        </is>
      </c>
      <c r="C941">
        <f>HYPERLINK("https://books.toscrape.com/catalogue/the-communist-manifesto_61/index.html","Open Link")</f>
        <v/>
      </c>
    </row>
    <row r="942">
      <c r="A942" t="inlineStr">
        <is>
          <t>The Bhagavad Gita</t>
        </is>
      </c>
      <c r="B942" t="inlineStr">
        <is>
          <t>£57.49</t>
        </is>
      </c>
      <c r="C942">
        <f>HYPERLINK("https://books.toscrape.com/catalogue/the-bhagavad-gita_60/index.html","Open Link")</f>
        <v/>
      </c>
    </row>
    <row r="943">
      <c r="A943" t="inlineStr">
        <is>
          <t>The Bette Davis Club</t>
        </is>
      </c>
      <c r="B943" t="inlineStr">
        <is>
          <t>£30.66</t>
        </is>
      </c>
      <c r="C943">
        <f>HYPERLINK("https://books.toscrape.com/catalogue/the-bette-davis-club_59/index.html","Open Link")</f>
        <v/>
      </c>
    </row>
    <row r="944">
      <c r="A944" t="inlineStr">
        <is>
          <t>The Art of Not ...</t>
        </is>
      </c>
      <c r="B944" t="inlineStr">
        <is>
          <t>£40.83</t>
        </is>
      </c>
      <c r="C944">
        <f>HYPERLINK("https://books.toscrape.com/catalogue/the-art-of-not-breathing_58/index.html","Open Link")</f>
        <v/>
      </c>
    </row>
    <row r="945">
      <c r="A945" t="inlineStr">
        <is>
          <t>Taking Shots (Assassins #1)</t>
        </is>
      </c>
      <c r="B945" t="inlineStr">
        <is>
          <t>£18.88</t>
        </is>
      </c>
      <c r="C945">
        <f>HYPERLINK("https://books.toscrape.com/catalogue/taking-shots-assassins-1_57/index.html","Open Link")</f>
        <v/>
      </c>
    </row>
    <row r="946">
      <c r="A946" t="inlineStr">
        <is>
          <t>Starlark</t>
        </is>
      </c>
      <c r="B946" t="inlineStr">
        <is>
          <t>£25.83</t>
        </is>
      </c>
      <c r="C946">
        <f>HYPERLINK("https://books.toscrape.com/catalogue/starlark_56/index.html","Open Link")</f>
        <v/>
      </c>
    </row>
    <row r="947">
      <c r="A947" t="inlineStr">
        <is>
          <t>Skip Beat!, Vol. 01 ...</t>
        </is>
      </c>
      <c r="B947" t="inlineStr">
        <is>
          <t>£42.12</t>
        </is>
      </c>
      <c r="C947">
        <f>HYPERLINK("https://books.toscrape.com/catalogue/skip-beat-vol-01-skip-beat-1_55/index.html","Open Link")</f>
        <v/>
      </c>
    </row>
    <row r="948">
      <c r="A948" t="inlineStr">
        <is>
          <t>Sister Sable (The Mad ...</t>
        </is>
      </c>
      <c r="B948" t="inlineStr">
        <is>
          <t>£13.33</t>
        </is>
      </c>
      <c r="C948">
        <f>HYPERLINK("https://books.toscrape.com/catalogue/sister-sable-the-mad-queen-1_54/index.html","Open Link")</f>
        <v/>
      </c>
    </row>
    <row r="949">
      <c r="A949" t="inlineStr">
        <is>
          <t>Shatter Me (Shatter Me ...</t>
        </is>
      </c>
      <c r="B949" t="inlineStr">
        <is>
          <t>£42.40</t>
        </is>
      </c>
      <c r="C949">
        <f>HYPERLINK("https://books.toscrape.com/catalogue/shatter-me-shatter-me-1_53/index.html","Open Link")</f>
        <v/>
      </c>
    </row>
    <row r="950">
      <c r="A950" t="inlineStr">
        <is>
          <t>Shameless</t>
        </is>
      </c>
      <c r="B950" t="inlineStr">
        <is>
          <t>£58.35</t>
        </is>
      </c>
      <c r="C950">
        <f>HYPERLINK("https://books.toscrape.com/catalogue/shameless_52/index.html","Open Link")</f>
        <v/>
      </c>
    </row>
    <row r="951">
      <c r="A951" t="inlineStr">
        <is>
          <t>Shadow Rites (Jane Yellowrock ...</t>
        </is>
      </c>
      <c r="B951" t="inlineStr">
        <is>
          <t>£21.72</t>
        </is>
      </c>
      <c r="C951">
        <f>HYPERLINK("https://books.toscrape.com/catalogue/shadow-rites-jane-yellowrock-10_51/index.html","Open Link")</f>
        <v/>
      </c>
    </row>
    <row r="952">
      <c r="A952" t="inlineStr">
        <is>
          <t>Settling the Score (The ...</t>
        </is>
      </c>
      <c r="B952" t="inlineStr">
        <is>
          <t>£44.91</t>
        </is>
      </c>
      <c r="C952">
        <f>HYPERLINK("https://books.toscrape.com/catalogue/settling-the-score-the-summer-games-1_50/index.html","Open Link")</f>
        <v/>
      </c>
    </row>
    <row r="953">
      <c r="A953" t="inlineStr">
        <is>
          <t>Sense and Sensibility</t>
        </is>
      </c>
      <c r="B953" t="inlineStr">
        <is>
          <t>£37.46</t>
        </is>
      </c>
      <c r="C953">
        <f>HYPERLINK("https://books.toscrape.com/catalogue/sense-and-sensibility_49/index.html","Open Link")</f>
        <v/>
      </c>
    </row>
    <row r="954">
      <c r="A954" t="inlineStr">
        <is>
          <t>Saga, Volume 1 (Saga ...</t>
        </is>
      </c>
      <c r="B954" t="inlineStr">
        <is>
          <t>£28.48</t>
        </is>
      </c>
      <c r="C954">
        <f>HYPERLINK("https://books.toscrape.com/catalogue/saga-volume-1-saga-collected-editions-1_48/index.html","Open Link")</f>
        <v/>
      </c>
    </row>
    <row r="955">
      <c r="A955" t="inlineStr">
        <is>
          <t>Rhythm, Chord &amp; Malykhin</t>
        </is>
      </c>
      <c r="B955" t="inlineStr">
        <is>
          <t>£28.34</t>
        </is>
      </c>
      <c r="C955">
        <f>HYPERLINK("https://books.toscrape.com/catalogue/rhythm-chord-malykhin_47/index.html","Open Link")</f>
        <v/>
      </c>
    </row>
    <row r="956">
      <c r="A956" t="inlineStr">
        <is>
          <t>Rat Queens, Vol. 1: ...</t>
        </is>
      </c>
      <c r="B956" t="inlineStr">
        <is>
          <t>£46.96</t>
        </is>
      </c>
      <c r="C956">
        <f>HYPERLINK("https://books.toscrape.com/catalogue/rat-queens-vol-1-sass-sorcery-rat-queens-collected-editions-1-5_46/index.html","Open Link")</f>
        <v/>
      </c>
    </row>
    <row r="957">
      <c r="A957" t="inlineStr">
        <is>
          <t>Paradise Lost (Paradise #1)</t>
        </is>
      </c>
      <c r="B957" t="inlineStr">
        <is>
          <t>£24.96</t>
        </is>
      </c>
      <c r="C957">
        <f>HYPERLINK("https://books.toscrape.com/catalogue/paradise-lost-paradise-1_45/index.html","Open Link")</f>
        <v/>
      </c>
    </row>
    <row r="958">
      <c r="A958" t="inlineStr">
        <is>
          <t>Paper Girls, Vol. 1 ...</t>
        </is>
      </c>
      <c r="B958" t="inlineStr">
        <is>
          <t>£21.71</t>
        </is>
      </c>
      <c r="C958">
        <f>HYPERLINK("https://books.toscrape.com/catalogue/paper-girls-vol-1-paper-girls-1-5_44/index.html","Open Link")</f>
        <v/>
      </c>
    </row>
    <row r="959">
      <c r="A959" t="inlineStr">
        <is>
          <t>Ouran High School Host ...</t>
        </is>
      </c>
      <c r="B959" t="inlineStr">
        <is>
          <t>£29.87</t>
        </is>
      </c>
      <c r="C959">
        <f>HYPERLINK("https://books.toscrape.com/catalogue/ouran-high-school-host-club-vol-1-ouran-high-school-host-club-1_43/index.html","Open Link")</f>
        <v/>
      </c>
    </row>
    <row r="960">
      <c r="A960" t="inlineStr">
        <is>
          <t>Origins (Alphas 0.5)</t>
        </is>
      </c>
      <c r="B960" t="inlineStr">
        <is>
          <t>£28.99</t>
        </is>
      </c>
      <c r="C960">
        <f>HYPERLINK("https://books.toscrape.com/catalogue/origins-alphas-05_42/index.html","Open Link")</f>
        <v/>
      </c>
    </row>
    <row r="961">
      <c r="A961" t="inlineStr">
        <is>
          <t>One Second (Seven #7)</t>
        </is>
      </c>
      <c r="B961" t="inlineStr">
        <is>
          <t>£52.94</t>
        </is>
      </c>
      <c r="C961">
        <f>HYPERLINK("https://books.toscrape.com/catalogue/one-second-seven-7_41/index.html","Open Link")</f>
        <v/>
      </c>
    </row>
    <row r="962">
      <c r="A962" t="inlineStr">
        <is>
          <t>On the Road (Duluoz ...</t>
        </is>
      </c>
      <c r="B962" t="inlineStr">
        <is>
          <t>£32.36</t>
        </is>
      </c>
      <c r="C962">
        <f>HYPERLINK("https://books.toscrape.com/catalogue/on-the-road-duluoz-legend_40/index.html","Open Link")</f>
        <v/>
      </c>
    </row>
    <row r="963">
      <c r="A963" t="inlineStr">
        <is>
          <t>Old Records Never Die: ...</t>
        </is>
      </c>
      <c r="B963" t="inlineStr">
        <is>
          <t>£55.66</t>
        </is>
      </c>
      <c r="C963">
        <f>HYPERLINK("https://books.toscrape.com/catalogue/old-records-never-die-one-mans-quest-for-his-vinyl-and-his-past_39/index.html","Open Link")</f>
        <v/>
      </c>
    </row>
    <row r="964">
      <c r="A964" t="inlineStr">
        <is>
          <t>Off Sides (Off #1)</t>
        </is>
      </c>
      <c r="B964" t="inlineStr">
        <is>
          <t>£39.45</t>
        </is>
      </c>
      <c r="C964">
        <f>HYPERLINK("https://books.toscrape.com/catalogue/off-sides-off-1_38/index.html","Open Link")</f>
        <v/>
      </c>
    </row>
    <row r="965">
      <c r="A965" t="inlineStr">
        <is>
          <t>Of Mice and Men</t>
        </is>
      </c>
      <c r="B965" t="inlineStr">
        <is>
          <t>£47.11</t>
        </is>
      </c>
      <c r="C965">
        <f>HYPERLINK("https://books.toscrape.com/catalogue/of-mice-and-men_37/index.html","Open Link")</f>
        <v/>
      </c>
    </row>
    <row r="966">
      <c r="A966" t="inlineStr">
        <is>
          <t>Myriad (Prentor #1)</t>
        </is>
      </c>
      <c r="B966" t="inlineStr">
        <is>
          <t>£58.75</t>
        </is>
      </c>
      <c r="C966">
        <f>HYPERLINK("https://books.toscrape.com/catalogue/myriad-prentor-1_36/index.html","Open Link")</f>
        <v/>
      </c>
    </row>
    <row r="967">
      <c r="A967" t="inlineStr">
        <is>
          <t>My Perfect Mistake (Over ...</t>
        </is>
      </c>
      <c r="B967" t="inlineStr">
        <is>
          <t>£38.92</t>
        </is>
      </c>
      <c r="C967">
        <f>HYPERLINK("https://books.toscrape.com/catalogue/my-perfect-mistake-over-the-top-1_35/index.html","Open Link")</f>
        <v/>
      </c>
    </row>
    <row r="968">
      <c r="A968" t="inlineStr">
        <is>
          <t>Ms. Marvel, Vol. 1: ...</t>
        </is>
      </c>
      <c r="B968" t="inlineStr">
        <is>
          <t>£39.39</t>
        </is>
      </c>
      <c r="C968">
        <f>HYPERLINK("https://books.toscrape.com/catalogue/ms-marvel-vol-1-no-normal-ms-marvel-2014-2015-1_34/index.html","Open Link")</f>
        <v/>
      </c>
    </row>
    <row r="969">
      <c r="A969" t="inlineStr">
        <is>
          <t>Meditations</t>
        </is>
      </c>
      <c r="B969" t="inlineStr">
        <is>
          <t>£25.89</t>
        </is>
      </c>
      <c r="C969">
        <f>HYPERLINK("https://books.toscrape.com/catalogue/meditations_33/index.html","Open Link")</f>
        <v/>
      </c>
    </row>
    <row r="970">
      <c r="A970" t="inlineStr">
        <is>
          <t>Matilda</t>
        </is>
      </c>
      <c r="B970" t="inlineStr">
        <is>
          <t>£28.34</t>
        </is>
      </c>
      <c r="C970">
        <f>HYPERLINK("https://books.toscrape.com/catalogue/matilda_32/index.html","Open Link")</f>
        <v/>
      </c>
    </row>
    <row r="971">
      <c r="A971" t="inlineStr">
        <is>
          <t>Lost Among the Living</t>
        </is>
      </c>
      <c r="B971" t="inlineStr">
        <is>
          <t>£27.70</t>
        </is>
      </c>
      <c r="C971">
        <f>HYPERLINK("https://books.toscrape.com/catalogue/lost-among-the-living_31/index.html","Open Link")</f>
        <v/>
      </c>
    </row>
    <row r="972">
      <c r="A972" t="inlineStr">
        <is>
          <t>Lord of the Flies</t>
        </is>
      </c>
      <c r="B972" t="inlineStr">
        <is>
          <t>£24.89</t>
        </is>
      </c>
      <c r="C972">
        <f>HYPERLINK("https://books.toscrape.com/catalogue/lord-of-the-flies_30/index.html","Open Link")</f>
        <v/>
      </c>
    </row>
    <row r="973">
      <c r="A973" t="inlineStr">
        <is>
          <t>Listen to Me (Fusion ...</t>
        </is>
      </c>
      <c r="B973" t="inlineStr">
        <is>
          <t>£58.99</t>
        </is>
      </c>
      <c r="C973">
        <f>HYPERLINK("https://books.toscrape.com/catalogue/listen-to-me-fusion-1_29/index.html","Open Link")</f>
        <v/>
      </c>
    </row>
    <row r="974">
      <c r="A974" t="inlineStr">
        <is>
          <t>Kitchens of the Great ...</t>
        </is>
      </c>
      <c r="B974" t="inlineStr">
        <is>
          <t>£57.20</t>
        </is>
      </c>
      <c r="C974">
        <f>HYPERLINK("https://books.toscrape.com/catalogue/kitchens-of-the-great-midwest_28/index.html","Open Link")</f>
        <v/>
      </c>
    </row>
    <row r="975">
      <c r="A975" t="inlineStr">
        <is>
          <t>Jane Eyre</t>
        </is>
      </c>
      <c r="B975" t="inlineStr">
        <is>
          <t>£38.43</t>
        </is>
      </c>
      <c r="C975">
        <f>HYPERLINK("https://books.toscrape.com/catalogue/jane-eyre_27/index.html","Open Link")</f>
        <v/>
      </c>
    </row>
    <row r="976">
      <c r="A976" t="inlineStr">
        <is>
          <t>Imperfect Harmony</t>
        </is>
      </c>
      <c r="B976" t="inlineStr">
        <is>
          <t>£34.74</t>
        </is>
      </c>
      <c r="C976">
        <f>HYPERLINK("https://books.toscrape.com/catalogue/imperfect-harmony_26/index.html","Open Link")</f>
        <v/>
      </c>
    </row>
    <row r="977">
      <c r="A977" t="inlineStr">
        <is>
          <t>Icing (Aces Hockey #2)</t>
        </is>
      </c>
      <c r="B977" t="inlineStr">
        <is>
          <t>£40.44</t>
        </is>
      </c>
      <c r="C977">
        <f>HYPERLINK("https://books.toscrape.com/catalogue/icing-aces-hockey-2_25/index.html","Open Link")</f>
        <v/>
      </c>
    </row>
    <row r="978">
      <c r="A978" t="inlineStr">
        <is>
          <t>Hawkeye, Vol. 1: My ...</t>
        </is>
      </c>
      <c r="B978" t="inlineStr">
        <is>
          <t>£45.24</t>
        </is>
      </c>
      <c r="C978">
        <f>HYPERLINK("https://books.toscrape.com/catalogue/hawkeye-vol-1-my-life-as-a-weapon-hawkeye-1_24/index.html","Open Link")</f>
        <v/>
      </c>
    </row>
    <row r="979">
      <c r="A979" t="inlineStr">
        <is>
          <t>Having the Barbarian's Baby ...</t>
        </is>
      </c>
      <c r="B979" t="inlineStr">
        <is>
          <t>£34.96</t>
        </is>
      </c>
      <c r="C979">
        <f>HYPERLINK("https://books.toscrape.com/catalogue/having-the-barbarians-baby-ice-planet-barbarians-75_23/index.html","Open Link")</f>
        <v/>
      </c>
    </row>
    <row r="980">
      <c r="A980" t="inlineStr">
        <is>
          <t>Giant Days, Vol. 1 ...</t>
        </is>
      </c>
      <c r="B980" t="inlineStr">
        <is>
          <t>£56.76</t>
        </is>
      </c>
      <c r="C980">
        <f>HYPERLINK("https://books.toscrape.com/catalogue/giant-days-vol-1-giant-days-1-4_22/index.html","Open Link")</f>
        <v/>
      </c>
    </row>
    <row r="981">
      <c r="A981" t="inlineStr">
        <is>
          <t>Fruits Basket, Vol. 1 ...</t>
        </is>
      </c>
      <c r="B981" t="inlineStr">
        <is>
          <t>£40.28</t>
        </is>
      </c>
      <c r="C981">
        <f>HYPERLINK("https://books.toscrape.com/catalogue/fruits-basket-vol-1-fruits-basket-1_21/index.html","Open Link")</f>
        <v/>
      </c>
    </row>
    <row r="982">
      <c r="A982" t="inlineStr">
        <is>
          <t>Frankenstein</t>
        </is>
      </c>
      <c r="B982" t="inlineStr">
        <is>
          <t>£38.00</t>
        </is>
      </c>
      <c r="C982">
        <f>HYPERLINK("https://books.toscrape.com/catalogue/frankenstein_20/index.html","Open Link")</f>
        <v/>
      </c>
    </row>
    <row r="983">
      <c r="A983" t="inlineStr">
        <is>
          <t>Forever Rockers (The Rocker ...</t>
        </is>
      </c>
      <c r="B983" t="inlineStr">
        <is>
          <t>£28.80</t>
        </is>
      </c>
      <c r="C983">
        <f>HYPERLINK("https://books.toscrape.com/catalogue/forever-rockers-the-rocker-12_19/index.html","Open Link")</f>
        <v/>
      </c>
    </row>
    <row r="984">
      <c r="A984" t="inlineStr">
        <is>
          <t>Fighting Fate (Fighting #6)</t>
        </is>
      </c>
      <c r="B984" t="inlineStr">
        <is>
          <t>£39.24</t>
        </is>
      </c>
      <c r="C984">
        <f>HYPERLINK("https://books.toscrape.com/catalogue/fighting-fate-fighting-6_18/index.html","Open Link")</f>
        <v/>
      </c>
    </row>
    <row r="985">
      <c r="A985" t="inlineStr">
        <is>
          <t>Emma</t>
        </is>
      </c>
      <c r="B985" t="inlineStr">
        <is>
          <t>£32.93</t>
        </is>
      </c>
      <c r="C985">
        <f>HYPERLINK("https://books.toscrape.com/catalogue/emma_17/index.html","Open Link")</f>
        <v/>
      </c>
    </row>
    <row r="986">
      <c r="A986" t="inlineStr">
        <is>
          <t>Eat, Pray, Love</t>
        </is>
      </c>
      <c r="B986" t="inlineStr">
        <is>
          <t>£51.32</t>
        </is>
      </c>
      <c r="C986">
        <f>HYPERLINK("https://books.toscrape.com/catalogue/eat-pray-love_16/index.html","Open Link")</f>
        <v/>
      </c>
    </row>
    <row r="987">
      <c r="A987" t="inlineStr">
        <is>
          <t>Deep Under (Walker Security ...</t>
        </is>
      </c>
      <c r="B987" t="inlineStr">
        <is>
          <t>£47.09</t>
        </is>
      </c>
      <c r="C987">
        <f>HYPERLINK("https://books.toscrape.com/catalogue/deep-under-walker-security-1_15/index.html","Open Link")</f>
        <v/>
      </c>
    </row>
    <row r="988">
      <c r="A988" t="inlineStr">
        <is>
          <t>Choosing Our Religion: The ...</t>
        </is>
      </c>
      <c r="B988" t="inlineStr">
        <is>
          <t>£28.42</t>
        </is>
      </c>
      <c r="C988">
        <f>HYPERLINK("https://books.toscrape.com/catalogue/choosing-our-religion-the-spiritual-lives-of-americas-nones_14/index.html","Open Link")</f>
        <v/>
      </c>
    </row>
    <row r="989">
      <c r="A989" t="inlineStr">
        <is>
          <t>Charlie and the Chocolate ...</t>
        </is>
      </c>
      <c r="B989" t="inlineStr">
        <is>
          <t>£22.85</t>
        </is>
      </c>
      <c r="C989">
        <f>HYPERLINK("https://books.toscrape.com/catalogue/charlie-and-the-chocolate-factory-charlie-bucket-1_13/index.html","Open Link")</f>
        <v/>
      </c>
    </row>
    <row r="990">
      <c r="A990" t="inlineStr">
        <is>
          <t>Charity's Cross (Charles Towne ...</t>
        </is>
      </c>
      <c r="B990" t="inlineStr">
        <is>
          <t>£41.24</t>
        </is>
      </c>
      <c r="C990">
        <f>HYPERLINK("https://books.toscrape.com/catalogue/charitys-cross-charles-towne-belles-4_12/index.html","Open Link")</f>
        <v/>
      </c>
    </row>
    <row r="991">
      <c r="A991" t="inlineStr">
        <is>
          <t>Bright Lines</t>
        </is>
      </c>
      <c r="B991" t="inlineStr">
        <is>
          <t>£39.07</t>
        </is>
      </c>
      <c r="C991">
        <f>HYPERLINK("https://books.toscrape.com/catalogue/bright-lines_11/index.html","Open Link")</f>
        <v/>
      </c>
    </row>
    <row r="992">
      <c r="A992" t="inlineStr">
        <is>
          <t>Bridget Jones's Diary (Bridget ...</t>
        </is>
      </c>
      <c r="B992" t="inlineStr">
        <is>
          <t>£29.82</t>
        </is>
      </c>
      <c r="C992">
        <f>HYPERLINK("https://books.toscrape.com/catalogue/bridget-joness-diary-bridget-jones-1_10/index.html","Open Link")</f>
        <v/>
      </c>
    </row>
    <row r="993">
      <c r="A993" t="inlineStr">
        <is>
          <t>Bounty (Colorado Mountain #7)</t>
        </is>
      </c>
      <c r="B993" t="inlineStr">
        <is>
          <t>£37.26</t>
        </is>
      </c>
      <c r="C993">
        <f>HYPERLINK("https://books.toscrape.com/catalogue/bounty-colorado-mountain-7_9/index.html","Open Link")</f>
        <v/>
      </c>
    </row>
    <row r="994">
      <c r="A994" t="inlineStr">
        <is>
          <t>Blood Defense (Samantha Brinkman ...</t>
        </is>
      </c>
      <c r="B994" t="inlineStr">
        <is>
          <t>£20.30</t>
        </is>
      </c>
      <c r="C994">
        <f>HYPERLINK("https://books.toscrape.com/catalogue/blood-defense-samantha-brinkman-1_8/index.html","Open Link")</f>
        <v/>
      </c>
    </row>
    <row r="995">
      <c r="A995" t="inlineStr">
        <is>
          <t>Bleach, Vol. 1: Strawberry ...</t>
        </is>
      </c>
      <c r="B995" t="inlineStr">
        <is>
          <t>£34.65</t>
        </is>
      </c>
      <c r="C995">
        <f>HYPERLINK("https://books.toscrape.com/catalogue/bleach-vol-1-strawberry-and-the-soul-reapers-bleach-1_7/index.html","Open Link")</f>
        <v/>
      </c>
    </row>
    <row r="996">
      <c r="A996" t="inlineStr">
        <is>
          <t>Beyond Good and Evil</t>
        </is>
      </c>
      <c r="B996" t="inlineStr">
        <is>
          <t>£43.38</t>
        </is>
      </c>
      <c r="C996">
        <f>HYPERLINK("https://books.toscrape.com/catalogue/beyond-good-and-evil_6/index.html","Open Link")</f>
        <v/>
      </c>
    </row>
    <row r="997">
      <c r="A997" t="inlineStr">
        <is>
          <t>Alice in Wonderland (Alice's ...</t>
        </is>
      </c>
      <c r="B997" t="inlineStr">
        <is>
          <t>£55.53</t>
        </is>
      </c>
      <c r="C997">
        <f>HYPERLINK("https://books.toscrape.com/catalogue/alice-in-wonderland-alices-adventures-in-wonderland-1_5/index.html","Open Link")</f>
        <v/>
      </c>
    </row>
    <row r="998">
      <c r="A998" t="inlineStr">
        <is>
          <t>Ajin: Demi-Human, Volume 1 ...</t>
        </is>
      </c>
      <c r="B998" t="inlineStr">
        <is>
          <t>£57.06</t>
        </is>
      </c>
      <c r="C998">
        <f>HYPERLINK("https://books.toscrape.com/catalogue/ajin-demi-human-volume-1-ajin-demi-human-1_4/index.html","Open Link")</f>
        <v/>
      </c>
    </row>
    <row r="999">
      <c r="A999" t="inlineStr">
        <is>
          <t>A Spy's Devotion (The ...</t>
        </is>
      </c>
      <c r="B999" t="inlineStr">
        <is>
          <t>£16.97</t>
        </is>
      </c>
      <c r="C999">
        <f>HYPERLINK("https://books.toscrape.com/catalogue/a-spys-devotion-the-regency-spies-of-london-1_3/index.html","Open Link")</f>
        <v/>
      </c>
    </row>
    <row r="1000">
      <c r="A1000" t="inlineStr">
        <is>
          <t>1st to Die (Women's ...</t>
        </is>
      </c>
      <c r="B1000" t="inlineStr">
        <is>
          <t>£53.98</t>
        </is>
      </c>
      <c r="C1000">
        <f>HYPERLINK("https://books.toscrape.com/catalogue/1st-to-die-womens-murder-club-1_2/index.html","Open Link")</f>
        <v/>
      </c>
    </row>
    <row r="1001">
      <c r="A1001" t="inlineStr">
        <is>
          <t>1,000 Places to See ...</t>
        </is>
      </c>
      <c r="B1001" t="inlineStr">
        <is>
          <t>£26.08</t>
        </is>
      </c>
      <c r="C1001">
        <f>HYPERLINK("https://books.toscrape.com/catalogue/1000-places-to-see-before-you-die_1/index.html","Open Link")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2026-03-25T18:59:08Z</dcterms:created>
  <dcterms:modified xmlns:dcterms="http://purl.org/dc/terms/" xmlns:xsi="http://www.w3.org/2001/XMLSchema-instance" xsi:type="dcterms:W3CDTF">2026-03-25T18:59:08Z</dcterms:modified>
</cp:coreProperties>
</file>